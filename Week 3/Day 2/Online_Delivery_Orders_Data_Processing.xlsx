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Analysis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<sst xmlns="http://schemas.openxmlformats.org/spreadsheetml/2006/main" count="293" uniqueCount="100">
  <si>
    <t xml:space="preserve">Order ID</t>
  </si>
  <si>
    <t xml:space="preserve">Customer Name</t>
  </si>
  <si>
    <t xml:space="preserve">Item Ordered</t>
  </si>
  <si>
    <t xml:space="preserve">Order Amount</t>
  </si>
  <si>
    <t xml:space="preserve">Payment Method</t>
  </si>
  <si>
    <t xml:space="preserve">Delivery Status</t>
  </si>
  <si>
    <t xml:space="preserve">Order Date</t>
  </si>
  <si>
    <t xml:space="preserve">Trimmed Name</t>
  </si>
  <si>
    <t xml:space="preserve">Standardized Payment</t>
  </si>
  <si>
    <t xml:space="preserve">Amount (Blank Filled)</t>
  </si>
  <si>
    <t xml:space="preserve">Duplicate Order ID?</t>
  </si>
  <si>
    <t xml:space="preserve">O001</t>
  </si>
  <si>
    <t xml:space="preserve">Rahul Sharma</t>
  </si>
  <si>
    <t xml:space="preserve">Paneer Butter Masala</t>
  </si>
  <si>
    <t xml:space="preserve">COD</t>
  </si>
  <si>
    <t xml:space="preserve">Delivered</t>
  </si>
  <si>
    <t xml:space="preserve">01-Aug-2026</t>
  </si>
  <si>
    <t xml:space="preserve">O002</t>
  </si>
  <si>
    <t xml:space="preserve">Priya Patil</t>
  </si>
  <si>
    <t xml:space="preserve">Veg Biryani</t>
  </si>
  <si>
    <t xml:space="preserve">upi</t>
  </si>
  <si>
    <t xml:space="preserve">O003</t>
  </si>
  <si>
    <t xml:space="preserve">Amit Verma</t>
  </si>
  <si>
    <t xml:space="preserve">Chicken Burger</t>
  </si>
  <si>
    <t xml:space="preserve">Card</t>
  </si>
  <si>
    <t xml:space="preserve">Cancelled</t>
  </si>
  <si>
    <t xml:space="preserve">O004</t>
  </si>
  <si>
    <t xml:space="preserve"> Neha Joshi</t>
  </si>
  <si>
    <t xml:space="preserve">Margherita Pizza</t>
  </si>
  <si>
    <t xml:space="preserve">Cash on Delivery</t>
  </si>
  <si>
    <t xml:space="preserve">O005</t>
  </si>
  <si>
    <t xml:space="preserve">Karan Singh</t>
  </si>
  <si>
    <t xml:space="preserve">Masala Dosa</t>
  </si>
  <si>
    <t xml:space="preserve">O006</t>
  </si>
  <si>
    <t xml:space="preserve">Sneha Deshmukh</t>
  </si>
  <si>
    <t xml:space="preserve">Veg Thali</t>
  </si>
  <si>
    <t xml:space="preserve">UPI</t>
  </si>
  <si>
    <t xml:space="preserve">Pending</t>
  </si>
  <si>
    <t xml:space="preserve">O007</t>
  </si>
  <si>
    <t xml:space="preserve">Rohan Gupta</t>
  </si>
  <si>
    <t xml:space="preserve">Chicken Biryani</t>
  </si>
  <si>
    <t xml:space="preserve">02-Aug-2026</t>
  </si>
  <si>
    <t xml:space="preserve">O008</t>
  </si>
  <si>
    <t xml:space="preserve">Pooja Kulkarni</t>
  </si>
  <si>
    <t xml:space="preserve">Paneer Roll</t>
  </si>
  <si>
    <t xml:space="preserve">O009</t>
  </si>
  <si>
    <t xml:space="preserve">Akash Mehta</t>
  </si>
  <si>
    <t xml:space="preserve">Veg Noodles</t>
  </si>
  <si>
    <t xml:space="preserve">cod</t>
  </si>
  <si>
    <t xml:space="preserve">O010</t>
  </si>
  <si>
    <t xml:space="preserve">Anjali More</t>
  </si>
  <si>
    <t xml:space="preserve">Butter Naan Combo</t>
  </si>
  <si>
    <t xml:space="preserve">O011</t>
  </si>
  <si>
    <t xml:space="preserve">Vivek Jain</t>
  </si>
  <si>
    <t xml:space="preserve">Chole Bhature</t>
  </si>
  <si>
    <t xml:space="preserve">O012</t>
  </si>
  <si>
    <t xml:space="preserve">Komal Pawar</t>
  </si>
  <si>
    <t xml:space="preserve">Fried Rice</t>
  </si>
  <si>
    <t xml:space="preserve">O013</t>
  </si>
  <si>
    <t xml:space="preserve">Sagar Mishra</t>
  </si>
  <si>
    <t xml:space="preserve">Chicken Momos</t>
  </si>
  <si>
    <t xml:space="preserve">03-Aug-2026</t>
  </si>
  <si>
    <t xml:space="preserve">O014</t>
  </si>
  <si>
    <t xml:space="preserve">Ritika Shah</t>
  </si>
  <si>
    <t xml:space="preserve">Veg Sandwich</t>
  </si>
  <si>
    <t xml:space="preserve">O015</t>
  </si>
  <si>
    <t xml:space="preserve">Nikhil Yadav</t>
  </si>
  <si>
    <t xml:space="preserve">Mutton Curry</t>
  </si>
  <si>
    <t xml:space="preserve">O016</t>
  </si>
  <si>
    <t xml:space="preserve">Aditi Kulkarni</t>
  </si>
  <si>
    <t xml:space="preserve">Paneer Tikka</t>
  </si>
  <si>
    <t xml:space="preserve">O017</t>
  </si>
  <si>
    <t xml:space="preserve">Harsh Patil</t>
  </si>
  <si>
    <t xml:space="preserve">Egg Curry</t>
  </si>
  <si>
    <t xml:space="preserve">O018</t>
  </si>
  <si>
    <t xml:space="preserve">Meera Nair</t>
  </si>
  <si>
    <t xml:space="preserve">Veg Pulao</t>
  </si>
  <si>
    <t xml:space="preserve">O019</t>
  </si>
  <si>
    <t xml:space="preserve">Abhishek Roy</t>
  </si>
  <si>
    <t xml:space="preserve">Chicken Wrap</t>
  </si>
  <si>
    <t xml:space="preserve">O020</t>
  </si>
  <si>
    <t xml:space="preserve">Tanvi Chavan</t>
  </si>
  <si>
    <t xml:space="preserve">Veg Manchurian</t>
  </si>
  <si>
    <t xml:space="preserve">Note: Red = blank/missing value. Yellow = duplicate Order ID. Columns H-K show cleaning formulas (trim, standardize, fill, duplicate flag).</t>
  </si>
  <si>
    <t xml:space="preserve">Neha Joshi</t>
  </si>
  <si>
    <t xml:space="preserve">Note: Duplicate order O007 removed (1 of 2 kept, 20 unique orders remain); missing Payment Method (O005) filled as Cash on Delivery; missing Order Amount (O012) imputed as 195 (average of similar items); Payment Method values standardized; extra space in O004's name trimmed.</t>
  </si>
  <si>
    <t xml:space="preserve">Online Delivery Orders — Analysis</t>
  </si>
  <si>
    <t xml:space="preserve">Metric</t>
  </si>
  <si>
    <t xml:space="preserve">Value</t>
  </si>
  <si>
    <t xml:space="preserve">Order Count</t>
  </si>
  <si>
    <t xml:space="preserve">Revenue (₹)</t>
  </si>
  <si>
    <t xml:space="preserve">Total Orders</t>
  </si>
  <si>
    <t xml:space="preserve">Delivered Orders</t>
  </si>
  <si>
    <t xml:space="preserve">Cancelled Orders</t>
  </si>
  <si>
    <t xml:space="preserve">Pending Orders</t>
  </si>
  <si>
    <t xml:space="preserve">Delivery Success Rate (%)</t>
  </si>
  <si>
    <t xml:space="preserve">Total Revenue - Delivered (₹)</t>
  </si>
  <si>
    <t xml:space="preserve">Average Order Value (₹)</t>
  </si>
  <si>
    <t xml:space="preserve">Most Used Payment Method</t>
  </si>
  <si>
    <t xml:space="preserve">Online Delivery Orders — Charts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</si>
</sst>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Analysis!H3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Analysis!$G$4:$G$6</c:f>
              <c:strCache>
                <c:ptCount val="3"/>
                <c:pt idx="0">
                  <c:v>Delivered</c:v>
                </c:pt>
                <c:pt idx="1">
                  <c:v>Cancelled</c:v>
                </c:pt>
                <c:pt idx="2">
                  <c:v>Pending</c:v>
                </c:pt>
              </c:strCache>
            </c:strRef>
          </c:cat>
          <c:val>
            <c:numRef>
              <c:f>Analysis!$H$4:$H$6</c:f>
              <c:numCache>
                <c:formatCode>General</c:formatCode>
                <c:ptCount val="3"/>
                <c:pt idx="0">
                  <c:v>15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Analysis!E3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Analysis!$D$4:$D$6</c:f>
              <c:strCache>
                <c:ptCount val="3"/>
                <c:pt idx="0">
                  <c:v>Cash on Delivery</c:v>
                </c:pt>
                <c:pt idx="1">
                  <c:v>Card</c:v>
                </c:pt>
                <c:pt idx="2">
                  <c:v>UPI</c:v>
                </c:pt>
              </c:strCache>
            </c:strRef>
          </c:cat>
          <c:val>
            <c:numRef>
              <c:f>Analysis!$E$4:$E$6</c:f>
              <c:numCache>
                <c:formatCode>General</c:formatCode>
                <c:ptCount val="3"/>
                <c:pt idx="0">
                  <c:v>9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</c:ser>
        <c:gapWidth val="150"/>
        <c:overlap val="0"/>
        <c:axId val="71210050"/>
        <c:axId val="94784844"/>
      </c:barChart>
      <c:catAx>
        <c:axId val="712100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Payment Method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84844"/>
        <c:crosses val="autoZero"/>
        <c:auto val="1"/>
        <c:lblAlgn val="ctr"/>
        <c:lblOffset val="100"/>
        <c:noMultiLvlLbl val="0"/>
      </c:catAx>
      <c:valAx>
        <c:axId val="947848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100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Order Count and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Analysis!K3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Analysis!$J$4:$J$6</c:f>
              <c:strCache>
                <c:ptCount val="3"/>
                <c:pt idx="0">
                  <c:v>01-Aug-2026</c:v>
                </c:pt>
                <c:pt idx="1">
                  <c:v>02-Aug-2026</c:v>
                </c:pt>
                <c:pt idx="2">
                  <c:v>03-Aug-2026</c:v>
                </c:pt>
              </c:strCache>
            </c:strRef>
          </c:cat>
          <c:val>
            <c:numRef>
              <c:f>Analysis!$K$4:$K$6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8</c:v>
                </c:pt>
              </c:numCache>
            </c:numRef>
          </c:val>
        </c:ser>
        <c:ser>
          <c:idx val="1"/>
          <c:order val="1"/>
          <c:tx>
            <c:strRef>
              <c:f>Analysis!L3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Analysis!$J$4:$J$6</c:f>
              <c:strCache>
                <c:ptCount val="3"/>
                <c:pt idx="0">
                  <c:v>01-Aug-2026</c:v>
                </c:pt>
                <c:pt idx="1">
                  <c:v>02-Aug-2026</c:v>
                </c:pt>
                <c:pt idx="2">
                  <c:v>03-Aug-2026</c:v>
                </c:pt>
              </c:strCache>
            </c:strRef>
          </c:cat>
          <c:val>
            <c:numRef>
              <c:f>Analysis!$L$4:$L$6</c:f>
              <c:numCache>
                <c:formatCode>General</c:formatCode>
                <c:ptCount val="3"/>
                <c:pt idx="0">
                  <c:v>1630</c:v>
                </c:pt>
                <c:pt idx="1">
                  <c:v>1345</c:v>
                </c:pt>
                <c:pt idx="2">
                  <c:v>1900</c:v>
                </c:pt>
              </c:numCache>
            </c:numRef>
          </c:val>
        </c:ser>
        <c:gapWidth val="150"/>
        <c:overlap val="0"/>
        <c:axId val="50095045"/>
        <c:axId val="51872461"/>
      </c:barChart>
      <c:catAx>
        <c:axId val="500950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72461"/>
        <c:crosses val="autoZero"/>
        <c:auto val="1"/>
        <c:lblAlgn val="ctr"/>
        <c:lblOffset val="100"/>
        <c:noMultiLvlLbl val="0"/>
      </c:catAx>
      <c:valAx>
        <c:axId val="518724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 / 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950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7</xdr:col>
      <xdr:colOff>39240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0" y="38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7</xdr:col>
      <xdr:colOff>39240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0" y="3619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160560</xdr:rowOff>
    </xdr:from>
    <xdr:to>
      <xdr:col>8</xdr:col>
      <xdr:colOff>147600</xdr:colOff>
      <xdr:row>50</xdr:row>
      <xdr:rowOff>182880</xdr:rowOff>
    </xdr:to>
    <xdr:graphicFrame>
      <xdr:nvGraphicFramePr>
        <xdr:cNvPr id="2" name="Chart 3"/>
        <xdr:cNvGraphicFramePr/>
      </xdr:nvGraphicFramePr>
      <xdr:xfrm>
        <a:off x="0" y="6858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10" min="9" style="0" width="18"/>
    <col collapsed="false" customWidth="true" hidden="false" outlineLevel="0" max="11" min="11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3" t="n">
        <v>350</v>
      </c>
      <c r="E2" s="2" t="s">
        <v>14</v>
      </c>
      <c r="F2" s="2" t="s">
        <v>15</v>
      </c>
      <c r="G2" s="2" t="s">
        <v>16</v>
      </c>
      <c r="H2" s="2" t="str">
        <f aca="false">TRIM(B2)</f>
        <v>Rahul Sharma</v>
      </c>
      <c r="I2" s="2" t="str">
        <f aca="false">IF(OR(UPPER(TRIM(E2))="COD",UPPER(TRIM(E2))="CASH ON DELIVERY"),"Cash on Delivery",IF(UPPER(TRIM(E2))="CARD","Card",IF(UPPER(TRIM(E2))="UPI","UPI","Missing")))</f>
        <v>Cash on Delivery</v>
      </c>
      <c r="J2" s="3" t="n">
        <f aca="false">IF(D2="",ROUND(AVERAGE($D$2:$D$22),0),D2)</f>
        <v>350</v>
      </c>
      <c r="K2" s="2" t="str">
        <f aca="false">IF(COUNTIF($A$2:$A$22,A2)&gt;1,"Duplicate","Unique")</f>
        <v>Unique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3" t="n">
        <v>280</v>
      </c>
      <c r="E3" s="2" t="s">
        <v>20</v>
      </c>
      <c r="F3" s="2" t="s">
        <v>15</v>
      </c>
      <c r="G3" s="2" t="s">
        <v>16</v>
      </c>
      <c r="H3" s="2" t="str">
        <f aca="false">TRIM(B3)</f>
        <v>Priya Patil</v>
      </c>
      <c r="I3" s="2" t="str">
        <f aca="false">IF(OR(UPPER(TRIM(E3))="COD",UPPER(TRIM(E3))="CASH ON DELIVERY"),"Cash on Delivery",IF(UPPER(TRIM(E3))="CARD","Card",IF(UPPER(TRIM(E3))="UPI","UPI","Missing")))</f>
        <v>UPI</v>
      </c>
      <c r="J3" s="3" t="n">
        <f aca="false">IF(D3="",ROUND(AVERAGE($D$2:$D$22),0),D3)</f>
        <v>280</v>
      </c>
      <c r="K3" s="2" t="str">
        <f aca="false">IF(COUNTIF($A$2:$A$22,A3)&gt;1,"Duplicate","Unique")</f>
        <v>Unique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3" t="n">
        <v>190</v>
      </c>
      <c r="E4" s="2" t="s">
        <v>24</v>
      </c>
      <c r="F4" s="2" t="s">
        <v>25</v>
      </c>
      <c r="G4" s="2" t="s">
        <v>16</v>
      </c>
      <c r="H4" s="2" t="str">
        <f aca="false">TRIM(B4)</f>
        <v>Amit Verma</v>
      </c>
      <c r="I4" s="2" t="str">
        <f aca="false">IF(OR(UPPER(TRIM(E4))="COD",UPPER(TRIM(E4))="CASH ON DELIVERY"),"Cash on Delivery",IF(UPPER(TRIM(E4))="CARD","Card",IF(UPPER(TRIM(E4))="UPI","UPI","Missing")))</f>
        <v>Card</v>
      </c>
      <c r="J4" s="3" t="n">
        <f aca="false">IF(D4="",ROUND(AVERAGE($D$2:$D$22),0),D4)</f>
        <v>190</v>
      </c>
      <c r="K4" s="2" t="str">
        <f aca="false">IF(COUNTIF($A$2:$A$22,A4)&gt;1,"Duplicate","Unique")</f>
        <v>Unique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3" t="n">
        <v>420</v>
      </c>
      <c r="E5" s="2" t="s">
        <v>29</v>
      </c>
      <c r="F5" s="2" t="s">
        <v>15</v>
      </c>
      <c r="G5" s="2" t="s">
        <v>16</v>
      </c>
      <c r="H5" s="2" t="str">
        <f aca="false">TRIM(B5)</f>
        <v>Neha Joshi</v>
      </c>
      <c r="I5" s="2" t="str">
        <f aca="false">IF(OR(UPPER(TRIM(E5))="COD",UPPER(TRIM(E5))="CASH ON DELIVERY"),"Cash on Delivery",IF(UPPER(TRIM(E5))="CARD","Card",IF(UPPER(TRIM(E5))="UPI","UPI","Missing")))</f>
        <v>Cash on Delivery</v>
      </c>
      <c r="J5" s="3" t="n">
        <f aca="false">IF(D5="",ROUND(AVERAGE($D$2:$D$22),0),D5)</f>
        <v>420</v>
      </c>
      <c r="K5" s="2" t="str">
        <f aca="false">IF(COUNTIF($A$2:$A$22,A5)&gt;1,"Duplicate","Unique")</f>
        <v>Unique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3" t="n">
        <v>150</v>
      </c>
      <c r="E6" s="2"/>
      <c r="F6" s="2" t="s">
        <v>15</v>
      </c>
      <c r="G6" s="2" t="s">
        <v>16</v>
      </c>
      <c r="H6" s="2" t="str">
        <f aca="false">TRIM(B6)</f>
        <v>Karan Singh</v>
      </c>
      <c r="I6" s="2" t="str">
        <f aca="false">IF(OR(UPPER(TRIM(E6))="COD",UPPER(TRIM(E6))="CASH ON DELIVERY"),"Cash on Delivery",IF(UPPER(TRIM(E6))="CARD","Card",IF(UPPER(TRIM(E6))="UPI","UPI","Missing")))</f>
        <v>Missing</v>
      </c>
      <c r="J6" s="3" t="n">
        <f aca="false">IF(D6="",ROUND(AVERAGE($D$2:$D$22),0),D6)</f>
        <v>150</v>
      </c>
      <c r="K6" s="2" t="str">
        <f aca="false">IF(COUNTIF($A$2:$A$22,A6)&gt;1,"Duplicate","Unique")</f>
        <v>Unique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3" t="n">
        <v>240</v>
      </c>
      <c r="E7" s="2" t="s">
        <v>36</v>
      </c>
      <c r="F7" s="2" t="s">
        <v>37</v>
      </c>
      <c r="G7" s="2" t="s">
        <v>16</v>
      </c>
      <c r="H7" s="2" t="str">
        <f aca="false">TRIM(B7)</f>
        <v>Sneha Deshmukh</v>
      </c>
      <c r="I7" s="2" t="str">
        <f aca="false">IF(OR(UPPER(TRIM(E7))="COD",UPPER(TRIM(E7))="CASH ON DELIVERY"),"Cash on Delivery",IF(UPPER(TRIM(E7))="CARD","Card",IF(UPPER(TRIM(E7))="UPI","UPI","Missing")))</f>
        <v>UPI</v>
      </c>
      <c r="J7" s="3" t="n">
        <f aca="false">IF(D7="",ROUND(AVERAGE($D$2:$D$22),0),D7)</f>
        <v>240</v>
      </c>
      <c r="K7" s="2" t="str">
        <f aca="false">IF(COUNTIF($A$2:$A$22,A7)&gt;1,"Duplicate","Unique")</f>
        <v>Unique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s">
        <v>40</v>
      </c>
      <c r="D8" s="3" t="n">
        <v>310</v>
      </c>
      <c r="E8" s="2" t="s">
        <v>14</v>
      </c>
      <c r="F8" s="2" t="s">
        <v>15</v>
      </c>
      <c r="G8" s="2" t="s">
        <v>41</v>
      </c>
      <c r="H8" s="2" t="str">
        <f aca="false">TRIM(B8)</f>
        <v>Rohan Gupta</v>
      </c>
      <c r="I8" s="2" t="str">
        <f aca="false">IF(OR(UPPER(TRIM(E8))="COD",UPPER(TRIM(E8))="CASH ON DELIVERY"),"Cash on Delivery",IF(UPPER(TRIM(E8))="CARD","Card",IF(UPPER(TRIM(E8))="UPI","UPI","Missing")))</f>
        <v>Cash on Delivery</v>
      </c>
      <c r="J8" s="3" t="n">
        <f aca="false">IF(D8="",ROUND(AVERAGE($D$2:$D$22),0),D8)</f>
        <v>310</v>
      </c>
      <c r="K8" s="2" t="str">
        <f aca="false">IF(COUNTIF($A$2:$A$22,A8)&gt;1,"Duplicate","Unique")</f>
        <v>Duplicate</v>
      </c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40</v>
      </c>
      <c r="D9" s="3" t="n">
        <v>310</v>
      </c>
      <c r="E9" s="2" t="s">
        <v>14</v>
      </c>
      <c r="F9" s="2" t="s">
        <v>15</v>
      </c>
      <c r="G9" s="2" t="s">
        <v>41</v>
      </c>
      <c r="H9" s="2" t="str">
        <f aca="false">TRIM(B9)</f>
        <v>Rohan Gupta</v>
      </c>
      <c r="I9" s="2" t="str">
        <f aca="false">IF(OR(UPPER(TRIM(E9))="COD",UPPER(TRIM(E9))="CASH ON DELIVERY"),"Cash on Delivery",IF(UPPER(TRIM(E9))="CARD","Card",IF(UPPER(TRIM(E9))="UPI","UPI","Missing")))</f>
        <v>Cash on Delivery</v>
      </c>
      <c r="J9" s="3" t="n">
        <f aca="false">IF(D9="",ROUND(AVERAGE($D$2:$D$22),0),D9)</f>
        <v>310</v>
      </c>
      <c r="K9" s="2" t="str">
        <f aca="false">IF(COUNTIF($A$2:$A$22,A9)&gt;1,"Duplicate","Unique")</f>
        <v>Duplicate</v>
      </c>
    </row>
    <row r="10" customFormat="false" ht="15" hidden="false" customHeight="false" outlineLevel="0" collapsed="false">
      <c r="A10" s="2" t="s">
        <v>42</v>
      </c>
      <c r="B10" s="2" t="s">
        <v>43</v>
      </c>
      <c r="C10" s="2" t="s">
        <v>44</v>
      </c>
      <c r="D10" s="3" t="n">
        <v>160</v>
      </c>
      <c r="E10" s="2" t="s">
        <v>24</v>
      </c>
      <c r="F10" s="2" t="s">
        <v>15</v>
      </c>
      <c r="G10" s="2" t="s">
        <v>41</v>
      </c>
      <c r="H10" s="2" t="str">
        <f aca="false">TRIM(B10)</f>
        <v>Pooja Kulkarni</v>
      </c>
      <c r="I10" s="2" t="str">
        <f aca="false">IF(OR(UPPER(TRIM(E10))="COD",UPPER(TRIM(E10))="CASH ON DELIVERY"),"Cash on Delivery",IF(UPPER(TRIM(E10))="CARD","Card",IF(UPPER(TRIM(E10))="UPI","UPI","Missing")))</f>
        <v>Card</v>
      </c>
      <c r="J10" s="3" t="n">
        <f aca="false">IF(D10="",ROUND(AVERAGE($D$2:$D$22),0),D10)</f>
        <v>160</v>
      </c>
      <c r="K10" s="2" t="str">
        <f aca="false">IF(COUNTIF($A$2:$A$22,A10)&gt;1,"Duplicate","Unique")</f>
        <v>Unique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s">
        <v>47</v>
      </c>
      <c r="D11" s="3" t="n">
        <v>200</v>
      </c>
      <c r="E11" s="2" t="s">
        <v>48</v>
      </c>
      <c r="F11" s="2" t="s">
        <v>25</v>
      </c>
      <c r="G11" s="2" t="s">
        <v>41</v>
      </c>
      <c r="H11" s="2" t="str">
        <f aca="false">TRIM(B11)</f>
        <v>Akash Mehta</v>
      </c>
      <c r="I11" s="2" t="str">
        <f aca="false">IF(OR(UPPER(TRIM(E11))="COD",UPPER(TRIM(E11))="CASH ON DELIVERY"),"Cash on Delivery",IF(UPPER(TRIM(E11))="CARD","Card",IF(UPPER(TRIM(E11))="UPI","UPI","Missing")))</f>
        <v>Cash on Delivery</v>
      </c>
      <c r="J11" s="3" t="n">
        <f aca="false">IF(D11="",ROUND(AVERAGE($D$2:$D$22),0),D11)</f>
        <v>200</v>
      </c>
      <c r="K11" s="2" t="str">
        <f aca="false">IF(COUNTIF($A$2:$A$22,A11)&gt;1,"Duplicate","Unique")</f>
        <v>Unique</v>
      </c>
    </row>
    <row r="12" customFormat="false" ht="15" hidden="false" customHeight="false" outlineLevel="0" collapsed="false">
      <c r="A12" s="2" t="s">
        <v>49</v>
      </c>
      <c r="B12" s="2" t="s">
        <v>50</v>
      </c>
      <c r="C12" s="2" t="s">
        <v>51</v>
      </c>
      <c r="D12" s="3" t="n">
        <v>300</v>
      </c>
      <c r="E12" s="2" t="s">
        <v>36</v>
      </c>
      <c r="F12" s="2" t="s">
        <v>15</v>
      </c>
      <c r="G12" s="2" t="s">
        <v>41</v>
      </c>
      <c r="H12" s="2" t="str">
        <f aca="false">TRIM(B12)</f>
        <v>Anjali More</v>
      </c>
      <c r="I12" s="2" t="str">
        <f aca="false">IF(OR(UPPER(TRIM(E12))="COD",UPPER(TRIM(E12))="CASH ON DELIVERY"),"Cash on Delivery",IF(UPPER(TRIM(E12))="CARD","Card",IF(UPPER(TRIM(E12))="UPI","UPI","Missing")))</f>
        <v>UPI</v>
      </c>
      <c r="J12" s="3" t="n">
        <f aca="false">IF(D12="",ROUND(AVERAGE($D$2:$D$22),0),D12)</f>
        <v>300</v>
      </c>
      <c r="K12" s="2" t="str">
        <f aca="false">IF(COUNTIF($A$2:$A$22,A12)&gt;1,"Duplicate","Unique")</f>
        <v>Unique</v>
      </c>
    </row>
    <row r="13" customFormat="false" ht="15" hidden="false" customHeight="false" outlineLevel="0" collapsed="false">
      <c r="A13" s="2" t="s">
        <v>52</v>
      </c>
      <c r="B13" s="2" t="s">
        <v>53</v>
      </c>
      <c r="C13" s="2" t="s">
        <v>54</v>
      </c>
      <c r="D13" s="3" t="n">
        <v>180</v>
      </c>
      <c r="E13" s="2" t="s">
        <v>24</v>
      </c>
      <c r="F13" s="2" t="s">
        <v>15</v>
      </c>
      <c r="G13" s="2" t="s">
        <v>41</v>
      </c>
      <c r="H13" s="2" t="str">
        <f aca="false">TRIM(B13)</f>
        <v>Vivek Jain</v>
      </c>
      <c r="I13" s="2" t="str">
        <f aca="false">IF(OR(UPPER(TRIM(E13))="COD",UPPER(TRIM(E13))="CASH ON DELIVERY"),"Cash on Delivery",IF(UPPER(TRIM(E13))="CARD","Card",IF(UPPER(TRIM(E13))="UPI","UPI","Missing")))</f>
        <v>Card</v>
      </c>
      <c r="J13" s="3" t="n">
        <f aca="false">IF(D13="",ROUND(AVERAGE($D$2:$D$22),0),D13)</f>
        <v>180</v>
      </c>
      <c r="K13" s="2" t="str">
        <f aca="false">IF(COUNTIF($A$2:$A$22,A13)&gt;1,"Duplicate","Unique")</f>
        <v>Unique</v>
      </c>
    </row>
    <row r="14" customFormat="false" ht="15" hidden="false" customHeight="false" outlineLevel="0" collapsed="false">
      <c r="A14" s="2" t="s">
        <v>55</v>
      </c>
      <c r="B14" s="2" t="s">
        <v>56</v>
      </c>
      <c r="C14" s="2" t="s">
        <v>57</v>
      </c>
      <c r="D14" s="3"/>
      <c r="E14" s="2" t="s">
        <v>36</v>
      </c>
      <c r="F14" s="2" t="s">
        <v>15</v>
      </c>
      <c r="G14" s="2" t="s">
        <v>41</v>
      </c>
      <c r="H14" s="2" t="str">
        <f aca="false">TRIM(B14)</f>
        <v>Komal Pawar</v>
      </c>
      <c r="I14" s="2" t="str">
        <f aca="false">IF(OR(UPPER(TRIM(E14))="COD",UPPER(TRIM(E14))="CASH ON DELIVERY"),"Cash on Delivery",IF(UPPER(TRIM(E14))="CARD","Card",IF(UPPER(TRIM(E14))="UPI","UPI","Missing")))</f>
        <v>UPI</v>
      </c>
      <c r="J14" s="2" t="n">
        <f aca="false">IF(D14="",ROUND(AVERAGE($D$2:$D$22),0),D14)</f>
        <v>250</v>
      </c>
      <c r="K14" s="2" t="str">
        <f aca="false">IF(COUNTIF($A$2:$A$22,A14)&gt;1,"Duplicate","Unique")</f>
        <v>Unique</v>
      </c>
    </row>
    <row r="15" customFormat="false" ht="15" hidden="false" customHeight="false" outlineLevel="0" collapsed="false">
      <c r="A15" s="2" t="s">
        <v>58</v>
      </c>
      <c r="B15" s="2" t="s">
        <v>59</v>
      </c>
      <c r="C15" s="2" t="s">
        <v>60</v>
      </c>
      <c r="D15" s="3" t="n">
        <v>220</v>
      </c>
      <c r="E15" s="2" t="s">
        <v>14</v>
      </c>
      <c r="F15" s="2" t="s">
        <v>37</v>
      </c>
      <c r="G15" s="2" t="s">
        <v>61</v>
      </c>
      <c r="H15" s="2" t="str">
        <f aca="false">TRIM(B15)</f>
        <v>Sagar Mishra</v>
      </c>
      <c r="I15" s="2" t="str">
        <f aca="false">IF(OR(UPPER(TRIM(E15))="COD",UPPER(TRIM(E15))="CASH ON DELIVERY"),"Cash on Delivery",IF(UPPER(TRIM(E15))="CARD","Card",IF(UPPER(TRIM(E15))="UPI","UPI","Missing")))</f>
        <v>Cash on Delivery</v>
      </c>
      <c r="J15" s="3" t="n">
        <f aca="false">IF(D15="",ROUND(AVERAGE($D$2:$D$22),0),D15)</f>
        <v>220</v>
      </c>
      <c r="K15" s="2" t="str">
        <f aca="false">IF(COUNTIF($A$2:$A$22,A15)&gt;1,"Duplicate","Unique")</f>
        <v>Unique</v>
      </c>
    </row>
    <row r="16" customFormat="false" ht="15" hidden="false" customHeight="false" outlineLevel="0" collapsed="false">
      <c r="A16" s="2" t="s">
        <v>62</v>
      </c>
      <c r="B16" s="2" t="s">
        <v>63</v>
      </c>
      <c r="C16" s="2" t="s">
        <v>64</v>
      </c>
      <c r="D16" s="3" t="n">
        <v>130</v>
      </c>
      <c r="E16" s="2" t="s">
        <v>24</v>
      </c>
      <c r="F16" s="2" t="s">
        <v>15</v>
      </c>
      <c r="G16" s="2" t="s">
        <v>61</v>
      </c>
      <c r="H16" s="2" t="str">
        <f aca="false">TRIM(B16)</f>
        <v>Ritika Shah</v>
      </c>
      <c r="I16" s="2" t="str">
        <f aca="false">IF(OR(UPPER(TRIM(E16))="COD",UPPER(TRIM(E16))="CASH ON DELIVERY"),"Cash on Delivery",IF(UPPER(TRIM(E16))="CARD","Card",IF(UPPER(TRIM(E16))="UPI","UPI","Missing")))</f>
        <v>Card</v>
      </c>
      <c r="J16" s="3" t="n">
        <f aca="false">IF(D16="",ROUND(AVERAGE($D$2:$D$22),0),D16)</f>
        <v>130</v>
      </c>
      <c r="K16" s="2" t="str">
        <f aca="false">IF(COUNTIF($A$2:$A$22,A16)&gt;1,"Duplicate","Unique")</f>
        <v>Unique</v>
      </c>
    </row>
    <row r="17" customFormat="false" ht="15" hidden="false" customHeight="false" outlineLevel="0" collapsed="false">
      <c r="A17" s="2" t="s">
        <v>65</v>
      </c>
      <c r="B17" s="2" t="s">
        <v>66</v>
      </c>
      <c r="C17" s="2" t="s">
        <v>67</v>
      </c>
      <c r="D17" s="3" t="n">
        <v>450</v>
      </c>
      <c r="E17" s="2" t="s">
        <v>29</v>
      </c>
      <c r="F17" s="2" t="s">
        <v>15</v>
      </c>
      <c r="G17" s="2" t="s">
        <v>61</v>
      </c>
      <c r="H17" s="2" t="str">
        <f aca="false">TRIM(B17)</f>
        <v>Nikhil Yadav</v>
      </c>
      <c r="I17" s="2" t="str">
        <f aca="false">IF(OR(UPPER(TRIM(E17))="COD",UPPER(TRIM(E17))="CASH ON DELIVERY"),"Cash on Delivery",IF(UPPER(TRIM(E17))="CARD","Card",IF(UPPER(TRIM(E17))="UPI","UPI","Missing")))</f>
        <v>Cash on Delivery</v>
      </c>
      <c r="J17" s="3" t="n">
        <f aca="false">IF(D17="",ROUND(AVERAGE($D$2:$D$22),0),D17)</f>
        <v>450</v>
      </c>
      <c r="K17" s="2" t="str">
        <f aca="false">IF(COUNTIF($A$2:$A$22,A17)&gt;1,"Duplicate","Unique")</f>
        <v>Unique</v>
      </c>
    </row>
    <row r="18" customFormat="false" ht="15" hidden="false" customHeight="false" outlineLevel="0" collapsed="false">
      <c r="A18" s="2" t="s">
        <v>68</v>
      </c>
      <c r="B18" s="2" t="s">
        <v>69</v>
      </c>
      <c r="C18" s="2" t="s">
        <v>70</v>
      </c>
      <c r="D18" s="3" t="n">
        <v>270</v>
      </c>
      <c r="E18" s="2" t="s">
        <v>36</v>
      </c>
      <c r="F18" s="2" t="s">
        <v>25</v>
      </c>
      <c r="G18" s="2" t="s">
        <v>61</v>
      </c>
      <c r="H18" s="2" t="str">
        <f aca="false">TRIM(B18)</f>
        <v>Aditi Kulkarni</v>
      </c>
      <c r="I18" s="2" t="str">
        <f aca="false">IF(OR(UPPER(TRIM(E18))="COD",UPPER(TRIM(E18))="CASH ON DELIVERY"),"Cash on Delivery",IF(UPPER(TRIM(E18))="CARD","Card",IF(UPPER(TRIM(E18))="UPI","UPI","Missing")))</f>
        <v>UPI</v>
      </c>
      <c r="J18" s="3" t="n">
        <f aca="false">IF(D18="",ROUND(AVERAGE($D$2:$D$22),0),D18)</f>
        <v>270</v>
      </c>
      <c r="K18" s="2" t="str">
        <f aca="false">IF(COUNTIF($A$2:$A$22,A18)&gt;1,"Duplicate","Unique")</f>
        <v>Unique</v>
      </c>
    </row>
    <row r="19" customFormat="false" ht="15" hidden="false" customHeight="false" outlineLevel="0" collapsed="false">
      <c r="A19" s="2" t="s">
        <v>71</v>
      </c>
      <c r="B19" s="2" t="s">
        <v>72</v>
      </c>
      <c r="C19" s="2" t="s">
        <v>73</v>
      </c>
      <c r="D19" s="3" t="n">
        <v>200</v>
      </c>
      <c r="E19" s="2" t="s">
        <v>14</v>
      </c>
      <c r="F19" s="2" t="s">
        <v>15</v>
      </c>
      <c r="G19" s="2" t="s">
        <v>61</v>
      </c>
      <c r="H19" s="2" t="str">
        <f aca="false">TRIM(B19)</f>
        <v>Harsh Patil</v>
      </c>
      <c r="I19" s="2" t="str">
        <f aca="false">IF(OR(UPPER(TRIM(E19))="COD",UPPER(TRIM(E19))="CASH ON DELIVERY"),"Cash on Delivery",IF(UPPER(TRIM(E19))="CARD","Card",IF(UPPER(TRIM(E19))="UPI","UPI","Missing")))</f>
        <v>Cash on Delivery</v>
      </c>
      <c r="J19" s="3" t="n">
        <f aca="false">IF(D19="",ROUND(AVERAGE($D$2:$D$22),0),D19)</f>
        <v>200</v>
      </c>
      <c r="K19" s="2" t="str">
        <f aca="false">IF(COUNTIF($A$2:$A$22,A19)&gt;1,"Duplicate","Unique")</f>
        <v>Unique</v>
      </c>
    </row>
    <row r="20" customFormat="false" ht="15" hidden="false" customHeight="false" outlineLevel="0" collapsed="false">
      <c r="A20" s="2" t="s">
        <v>74</v>
      </c>
      <c r="B20" s="2" t="s">
        <v>75</v>
      </c>
      <c r="C20" s="2" t="s">
        <v>76</v>
      </c>
      <c r="D20" s="3" t="n">
        <v>210</v>
      </c>
      <c r="E20" s="2" t="s">
        <v>24</v>
      </c>
      <c r="F20" s="2" t="s">
        <v>15</v>
      </c>
      <c r="G20" s="2" t="s">
        <v>61</v>
      </c>
      <c r="H20" s="2" t="str">
        <f aca="false">TRIM(B20)</f>
        <v>Meera Nair</v>
      </c>
      <c r="I20" s="2" t="str">
        <f aca="false">IF(OR(UPPER(TRIM(E20))="COD",UPPER(TRIM(E20))="CASH ON DELIVERY"),"Cash on Delivery",IF(UPPER(TRIM(E20))="CARD","Card",IF(UPPER(TRIM(E20))="UPI","UPI","Missing")))</f>
        <v>Card</v>
      </c>
      <c r="J20" s="3" t="n">
        <f aca="false">IF(D20="",ROUND(AVERAGE($D$2:$D$22),0),D20)</f>
        <v>210</v>
      </c>
      <c r="K20" s="2" t="str">
        <f aca="false">IF(COUNTIF($A$2:$A$22,A20)&gt;1,"Duplicate","Unique")</f>
        <v>Unique</v>
      </c>
    </row>
    <row r="21" customFormat="false" ht="15" hidden="false" customHeight="false" outlineLevel="0" collapsed="false">
      <c r="A21" s="2" t="s">
        <v>77</v>
      </c>
      <c r="B21" s="2" t="s">
        <v>78</v>
      </c>
      <c r="C21" s="2" t="s">
        <v>79</v>
      </c>
      <c r="D21" s="3" t="n">
        <v>190</v>
      </c>
      <c r="E21" s="2" t="s">
        <v>20</v>
      </c>
      <c r="F21" s="2" t="s">
        <v>15</v>
      </c>
      <c r="G21" s="2" t="s">
        <v>61</v>
      </c>
      <c r="H21" s="2" t="str">
        <f aca="false">TRIM(B21)</f>
        <v>Abhishek Roy</v>
      </c>
      <c r="I21" s="2" t="str">
        <f aca="false">IF(OR(UPPER(TRIM(E21))="COD",UPPER(TRIM(E21))="CASH ON DELIVERY"),"Cash on Delivery",IF(UPPER(TRIM(E21))="CARD","Card",IF(UPPER(TRIM(E21))="UPI","UPI","Missing")))</f>
        <v>UPI</v>
      </c>
      <c r="J21" s="3" t="n">
        <f aca="false">IF(D21="",ROUND(AVERAGE($D$2:$D$22),0),D21)</f>
        <v>190</v>
      </c>
      <c r="K21" s="2" t="str">
        <f aca="false">IF(COUNTIF($A$2:$A$22,A21)&gt;1,"Duplicate","Unique")</f>
        <v>Unique</v>
      </c>
    </row>
    <row r="22" customFormat="false" ht="15" hidden="false" customHeight="false" outlineLevel="0" collapsed="false">
      <c r="A22" s="2" t="s">
        <v>80</v>
      </c>
      <c r="B22" s="2" t="s">
        <v>81</v>
      </c>
      <c r="C22" s="2" t="s">
        <v>82</v>
      </c>
      <c r="D22" s="3" t="n">
        <v>230</v>
      </c>
      <c r="E22" s="2" t="s">
        <v>14</v>
      </c>
      <c r="F22" s="2" t="s">
        <v>15</v>
      </c>
      <c r="G22" s="2" t="s">
        <v>61</v>
      </c>
      <c r="H22" s="2" t="str">
        <f aca="false">TRIM(B22)</f>
        <v>Tanvi Chavan</v>
      </c>
      <c r="I22" s="2" t="str">
        <f aca="false">IF(OR(UPPER(TRIM(E22))="COD",UPPER(TRIM(E22))="CASH ON DELIVERY"),"Cash on Delivery",IF(UPPER(TRIM(E22))="CARD","Card",IF(UPPER(TRIM(E22))="UPI","UPI","Missing")))</f>
        <v>Cash on Delivery</v>
      </c>
      <c r="J22" s="3" t="n">
        <f aca="false">IF(D22="",ROUND(AVERAGE($D$2:$D$22),0),D22)</f>
        <v>230</v>
      </c>
      <c r="K22" s="2" t="str">
        <f aca="false">IF(COUNTIF($A$2:$A$22,A22)&gt;1,"Duplicate","Unique")</f>
        <v>Unique</v>
      </c>
    </row>
    <row r="24" customFormat="false" ht="15" hidden="false" customHeight="false" outlineLevel="0" collapsed="false">
      <c r="A24" s="4" t="s">
        <v>83</v>
      </c>
    </row>
  </sheetData>
  <conditionalFormatting sqref="D2:D22">
    <cfRule type="expression" priority="2" aboveAverage="0" equalAverage="0" bottom="0" percent="0" rank="0" text="" dxfId="0">
      <formula>D2=""</formula>
    </cfRule>
  </conditionalFormatting>
  <conditionalFormatting sqref="E2:E22">
    <cfRule type="expression" priority="3" aboveAverage="0" equalAverage="0" bottom="0" percent="0" rank="0" text="" dxfId="0">
      <formula>E2=""</formula>
    </cfRule>
  </conditionalFormatting>
  <conditionalFormatting sqref="A2:A22">
    <cfRule type="expression" priority="4" aboveAverage="0" equalAverage="0" bottom="0" percent="0" rank="0" text="" dxfId="1">
      <formula>COUNTIF($A$2:$A$22,A2)&gt;1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3" t="n">
        <v>350</v>
      </c>
      <c r="E2" s="2" t="s">
        <v>29</v>
      </c>
      <c r="F2" s="2" t="s">
        <v>15</v>
      </c>
      <c r="G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3" t="n">
        <v>280</v>
      </c>
      <c r="E3" s="2" t="s">
        <v>36</v>
      </c>
      <c r="F3" s="2" t="s">
        <v>15</v>
      </c>
      <c r="G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3" t="n">
        <v>190</v>
      </c>
      <c r="E4" s="2" t="s">
        <v>24</v>
      </c>
      <c r="F4" s="2" t="s">
        <v>25</v>
      </c>
      <c r="G4" s="2" t="s">
        <v>16</v>
      </c>
    </row>
    <row r="5" customFormat="false" ht="15" hidden="false" customHeight="false" outlineLevel="0" collapsed="false">
      <c r="A5" s="2" t="s">
        <v>26</v>
      </c>
      <c r="B5" s="2" t="s">
        <v>84</v>
      </c>
      <c r="C5" s="2" t="s">
        <v>28</v>
      </c>
      <c r="D5" s="3" t="n">
        <v>420</v>
      </c>
      <c r="E5" s="2" t="s">
        <v>29</v>
      </c>
      <c r="F5" s="2" t="s">
        <v>15</v>
      </c>
      <c r="G5" s="2" t="s">
        <v>16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3" t="n">
        <v>150</v>
      </c>
      <c r="E6" s="2" t="s">
        <v>29</v>
      </c>
      <c r="F6" s="2" t="s">
        <v>15</v>
      </c>
      <c r="G6" s="2" t="s">
        <v>16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3" t="n">
        <v>240</v>
      </c>
      <c r="E7" s="2" t="s">
        <v>36</v>
      </c>
      <c r="F7" s="2" t="s">
        <v>37</v>
      </c>
      <c r="G7" s="2" t="s">
        <v>16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s">
        <v>40</v>
      </c>
      <c r="D8" s="3" t="n">
        <v>310</v>
      </c>
      <c r="E8" s="2" t="s">
        <v>29</v>
      </c>
      <c r="F8" s="2" t="s">
        <v>15</v>
      </c>
      <c r="G8" s="2" t="s">
        <v>41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44</v>
      </c>
      <c r="D9" s="3" t="n">
        <v>160</v>
      </c>
      <c r="E9" s="2" t="s">
        <v>24</v>
      </c>
      <c r="F9" s="2" t="s">
        <v>15</v>
      </c>
      <c r="G9" s="2" t="s">
        <v>41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47</v>
      </c>
      <c r="D10" s="3" t="n">
        <v>200</v>
      </c>
      <c r="E10" s="2" t="s">
        <v>29</v>
      </c>
      <c r="F10" s="2" t="s">
        <v>25</v>
      </c>
      <c r="G10" s="2" t="s">
        <v>41</v>
      </c>
    </row>
    <row r="11" customFormat="false" ht="15" hidden="false" customHeight="false" outlineLevel="0" collapsed="false">
      <c r="A11" s="2" t="s">
        <v>49</v>
      </c>
      <c r="B11" s="2" t="s">
        <v>50</v>
      </c>
      <c r="C11" s="2" t="s">
        <v>51</v>
      </c>
      <c r="D11" s="3" t="n">
        <v>300</v>
      </c>
      <c r="E11" s="2" t="s">
        <v>36</v>
      </c>
      <c r="F11" s="2" t="s">
        <v>15</v>
      </c>
      <c r="G11" s="2" t="s">
        <v>41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54</v>
      </c>
      <c r="D12" s="3" t="n">
        <v>180</v>
      </c>
      <c r="E12" s="2" t="s">
        <v>24</v>
      </c>
      <c r="F12" s="2" t="s">
        <v>15</v>
      </c>
      <c r="G12" s="2" t="s">
        <v>41</v>
      </c>
    </row>
    <row r="13" customFormat="false" ht="15" hidden="false" customHeight="false" outlineLevel="0" collapsed="false">
      <c r="A13" s="2" t="s">
        <v>55</v>
      </c>
      <c r="B13" s="2" t="s">
        <v>56</v>
      </c>
      <c r="C13" s="2" t="s">
        <v>57</v>
      </c>
      <c r="D13" s="3" t="n">
        <v>195</v>
      </c>
      <c r="E13" s="2" t="s">
        <v>36</v>
      </c>
      <c r="F13" s="2" t="s">
        <v>15</v>
      </c>
      <c r="G13" s="2" t="s">
        <v>41</v>
      </c>
    </row>
    <row r="14" customFormat="false" ht="15" hidden="false" customHeight="false" outlineLevel="0" collapsed="false">
      <c r="A14" s="2" t="s">
        <v>58</v>
      </c>
      <c r="B14" s="2" t="s">
        <v>59</v>
      </c>
      <c r="C14" s="2" t="s">
        <v>60</v>
      </c>
      <c r="D14" s="3" t="n">
        <v>220</v>
      </c>
      <c r="E14" s="2" t="s">
        <v>29</v>
      </c>
      <c r="F14" s="2" t="s">
        <v>37</v>
      </c>
      <c r="G14" s="2" t="s">
        <v>61</v>
      </c>
    </row>
    <row r="15" customFormat="false" ht="15" hidden="false" customHeight="false" outlineLevel="0" collapsed="false">
      <c r="A15" s="2" t="s">
        <v>62</v>
      </c>
      <c r="B15" s="2" t="s">
        <v>63</v>
      </c>
      <c r="C15" s="2" t="s">
        <v>64</v>
      </c>
      <c r="D15" s="3" t="n">
        <v>130</v>
      </c>
      <c r="E15" s="2" t="s">
        <v>24</v>
      </c>
      <c r="F15" s="2" t="s">
        <v>15</v>
      </c>
      <c r="G15" s="2" t="s">
        <v>61</v>
      </c>
    </row>
    <row r="16" customFormat="false" ht="15" hidden="false" customHeight="false" outlineLevel="0" collapsed="false">
      <c r="A16" s="2" t="s">
        <v>65</v>
      </c>
      <c r="B16" s="2" t="s">
        <v>66</v>
      </c>
      <c r="C16" s="2" t="s">
        <v>67</v>
      </c>
      <c r="D16" s="3" t="n">
        <v>450</v>
      </c>
      <c r="E16" s="2" t="s">
        <v>29</v>
      </c>
      <c r="F16" s="2" t="s">
        <v>15</v>
      </c>
      <c r="G16" s="2" t="s">
        <v>61</v>
      </c>
    </row>
    <row r="17" customFormat="false" ht="15" hidden="false" customHeight="false" outlineLevel="0" collapsed="false">
      <c r="A17" s="2" t="s">
        <v>68</v>
      </c>
      <c r="B17" s="2" t="s">
        <v>69</v>
      </c>
      <c r="C17" s="2" t="s">
        <v>70</v>
      </c>
      <c r="D17" s="3" t="n">
        <v>270</v>
      </c>
      <c r="E17" s="2" t="s">
        <v>36</v>
      </c>
      <c r="F17" s="2" t="s">
        <v>25</v>
      </c>
      <c r="G17" s="2" t="s">
        <v>61</v>
      </c>
    </row>
    <row r="18" customFormat="false" ht="15" hidden="false" customHeight="false" outlineLevel="0" collapsed="false">
      <c r="A18" s="2" t="s">
        <v>71</v>
      </c>
      <c r="B18" s="2" t="s">
        <v>72</v>
      </c>
      <c r="C18" s="2" t="s">
        <v>73</v>
      </c>
      <c r="D18" s="3" t="n">
        <v>200</v>
      </c>
      <c r="E18" s="2" t="s">
        <v>29</v>
      </c>
      <c r="F18" s="2" t="s">
        <v>15</v>
      </c>
      <c r="G18" s="2" t="s">
        <v>61</v>
      </c>
    </row>
    <row r="19" customFormat="false" ht="15" hidden="false" customHeight="false" outlineLevel="0" collapsed="false">
      <c r="A19" s="2" t="s">
        <v>74</v>
      </c>
      <c r="B19" s="2" t="s">
        <v>75</v>
      </c>
      <c r="C19" s="2" t="s">
        <v>76</v>
      </c>
      <c r="D19" s="3" t="n">
        <v>210</v>
      </c>
      <c r="E19" s="2" t="s">
        <v>24</v>
      </c>
      <c r="F19" s="2" t="s">
        <v>15</v>
      </c>
      <c r="G19" s="2" t="s">
        <v>61</v>
      </c>
    </row>
    <row r="20" customFormat="false" ht="15" hidden="false" customHeight="false" outlineLevel="0" collapsed="false">
      <c r="A20" s="2" t="s">
        <v>77</v>
      </c>
      <c r="B20" s="2" t="s">
        <v>78</v>
      </c>
      <c r="C20" s="2" t="s">
        <v>79</v>
      </c>
      <c r="D20" s="3" t="n">
        <v>190</v>
      </c>
      <c r="E20" s="2" t="s">
        <v>36</v>
      </c>
      <c r="F20" s="2" t="s">
        <v>15</v>
      </c>
      <c r="G20" s="2" t="s">
        <v>61</v>
      </c>
    </row>
    <row r="21" customFormat="false" ht="15" hidden="false" customHeight="false" outlineLevel="0" collapsed="false">
      <c r="A21" s="2" t="s">
        <v>80</v>
      </c>
      <c r="B21" s="2" t="s">
        <v>81</v>
      </c>
      <c r="C21" s="2" t="s">
        <v>82</v>
      </c>
      <c r="D21" s="3" t="n">
        <v>230</v>
      </c>
      <c r="E21" s="2" t="s">
        <v>29</v>
      </c>
      <c r="F21" s="2" t="s">
        <v>15</v>
      </c>
      <c r="G21" s="2" t="s">
        <v>61</v>
      </c>
    </row>
    <row r="23" customFormat="false" ht="15" hidden="false" customHeight="false" outlineLevel="0" collapsed="false">
      <c r="A23" s="4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"/>
    <col collapsed="false" customWidth="true" hidden="false" outlineLevel="0" max="10" min="10" style="0" width="14"/>
    <col collapsed="false" customWidth="true" hidden="false" outlineLevel="0" max="12" min="11" style="0" width="12"/>
  </cols>
  <sheetData>
    <row r="1" customFormat="false" ht="17.35" hidden="false" customHeight="false" outlineLevel="0" collapsed="false">
      <c r="A1" s="5" t="s">
        <v>86</v>
      </c>
      <c r="B1" s="5"/>
    </row>
    <row r="3" customFormat="false" ht="15" hidden="false" customHeight="false" outlineLevel="0" collapsed="false">
      <c r="A3" s="6" t="s">
        <v>87</v>
      </c>
      <c r="B3" s="6" t="s">
        <v>88</v>
      </c>
      <c r="D3" s="6" t="s">
        <v>4</v>
      </c>
      <c r="E3" s="6" t="s">
        <v>89</v>
      </c>
      <c r="G3" s="6" t="s">
        <v>5</v>
      </c>
      <c r="H3" s="6" t="s">
        <v>89</v>
      </c>
      <c r="J3" s="6" t="s">
        <v>6</v>
      </c>
      <c r="K3" s="6" t="s">
        <v>89</v>
      </c>
      <c r="L3" s="6" t="s">
        <v>90</v>
      </c>
    </row>
    <row r="4" customFormat="false" ht="15" hidden="false" customHeight="false" outlineLevel="0" collapsed="false">
      <c r="A4" s="7" t="s">
        <v>91</v>
      </c>
      <c r="B4" s="7" t="n">
        <f aca="false">COUNTA('Cleaned Data'!A2:A21)</f>
        <v>20</v>
      </c>
      <c r="D4" s="7" t="s">
        <v>29</v>
      </c>
      <c r="E4" s="7" t="n">
        <f aca="false">COUNTIF('Cleaned Data'!E2:E21,D4)</f>
        <v>9</v>
      </c>
      <c r="G4" s="7" t="s">
        <v>15</v>
      </c>
      <c r="H4" s="7" t="n">
        <f aca="false">COUNTIF('Cleaned Data'!F2:F21,G4)</f>
        <v>15</v>
      </c>
      <c r="J4" s="7" t="s">
        <v>16</v>
      </c>
      <c r="K4" s="7" t="n">
        <f aca="false">COUNTIF('Cleaned Data'!G2:G21,J4)</f>
        <v>6</v>
      </c>
      <c r="L4" s="7" t="n">
        <f aca="false">SUMIFS('Cleaned Data'!D2:D21,'Cleaned Data'!G2:G21,J4)</f>
        <v>1630</v>
      </c>
    </row>
    <row r="5" customFormat="false" ht="15" hidden="false" customHeight="false" outlineLevel="0" collapsed="false">
      <c r="A5" s="7" t="s">
        <v>92</v>
      </c>
      <c r="B5" s="7" t="n">
        <f aca="false">COUNTIF('Cleaned Data'!F2:F21,"Delivered")</f>
        <v>15</v>
      </c>
      <c r="D5" s="7" t="s">
        <v>24</v>
      </c>
      <c r="E5" s="7" t="n">
        <f aca="false">COUNTIF('Cleaned Data'!E2:E21,D5)</f>
        <v>5</v>
      </c>
      <c r="G5" s="7" t="s">
        <v>25</v>
      </c>
      <c r="H5" s="7" t="n">
        <f aca="false">COUNTIF('Cleaned Data'!F2:F21,G5)</f>
        <v>3</v>
      </c>
      <c r="J5" s="7" t="s">
        <v>41</v>
      </c>
      <c r="K5" s="7" t="n">
        <f aca="false">COUNTIF('Cleaned Data'!G2:G21,J5)</f>
        <v>6</v>
      </c>
      <c r="L5" s="7" t="n">
        <f aca="false">SUMIFS('Cleaned Data'!D2:D21,'Cleaned Data'!G2:G21,J5)</f>
        <v>1345</v>
      </c>
    </row>
    <row r="6" customFormat="false" ht="15" hidden="false" customHeight="false" outlineLevel="0" collapsed="false">
      <c r="A6" s="7" t="s">
        <v>93</v>
      </c>
      <c r="B6" s="7" t="n">
        <f aca="false">COUNTIF('Cleaned Data'!F2:F21,"Cancelled")</f>
        <v>3</v>
      </c>
      <c r="D6" s="7" t="s">
        <v>36</v>
      </c>
      <c r="E6" s="7" t="n">
        <f aca="false">COUNTIF('Cleaned Data'!E2:E21,D6)</f>
        <v>6</v>
      </c>
      <c r="G6" s="7" t="s">
        <v>37</v>
      </c>
      <c r="H6" s="7" t="n">
        <f aca="false">COUNTIF('Cleaned Data'!F2:F21,G6)</f>
        <v>2</v>
      </c>
      <c r="J6" s="7" t="s">
        <v>61</v>
      </c>
      <c r="K6" s="7" t="n">
        <f aca="false">COUNTIF('Cleaned Data'!G2:G21,J6)</f>
        <v>8</v>
      </c>
      <c r="L6" s="7" t="n">
        <f aca="false">SUMIFS('Cleaned Data'!D2:D21,'Cleaned Data'!G2:G21,J6)</f>
        <v>1900</v>
      </c>
    </row>
    <row r="7" customFormat="false" ht="15" hidden="false" customHeight="false" outlineLevel="0" collapsed="false">
      <c r="A7" s="7" t="s">
        <v>94</v>
      </c>
      <c r="B7" s="7" t="n">
        <f aca="false">COUNTIF('Cleaned Data'!F2:F21,"Pending")</f>
        <v>2</v>
      </c>
    </row>
    <row r="8" customFormat="false" ht="15" hidden="false" customHeight="false" outlineLevel="0" collapsed="false">
      <c r="A8" s="7" t="s">
        <v>95</v>
      </c>
      <c r="B8" s="7" t="n">
        <f aca="false">ROUND(B5/B4*100,1)</f>
        <v>75</v>
      </c>
    </row>
    <row r="9" customFormat="false" ht="15" hidden="false" customHeight="false" outlineLevel="0" collapsed="false">
      <c r="A9" s="7" t="s">
        <v>96</v>
      </c>
      <c r="B9" s="7" t="n">
        <f aca="false">SUMIFS('Cleaned Data'!D2:D21,'Cleaned Data'!F2:F21,"Delivered")</f>
        <v>3755</v>
      </c>
    </row>
    <row r="10" customFormat="false" ht="15" hidden="false" customHeight="false" outlineLevel="0" collapsed="false">
      <c r="A10" s="7" t="s">
        <v>97</v>
      </c>
      <c r="B10" s="7" t="n">
        <f aca="false">ROUND(AVERAGE('Cleaned Data'!D2:D21),1)</f>
        <v>243.8</v>
      </c>
    </row>
    <row r="11" customFormat="false" ht="15" hidden="false" customHeight="false" outlineLevel="0" collapsed="false">
      <c r="A11" s="7" t="s">
        <v>98</v>
      </c>
      <c r="B11" s="7" t="str">
        <f aca="false">INDEX(D4:D6,MATCH(MAX(E4:E6),E4:E6,0))</f>
        <v>Cash on Delivery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8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2026-07-28T09:34:53Z</dcterms:created>
  <dc:creator>openpyxl</dc:creator>
  <dc:description/>
  <dc:language>en-US</dc:language>
  <cp:lastModifiedBy/>
  <dcterms:modified xsi:type="dcterms:W3CDTF">2026-07-28T09:34:55Z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