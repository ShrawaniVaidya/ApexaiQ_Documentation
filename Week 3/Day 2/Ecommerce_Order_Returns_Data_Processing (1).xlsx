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a5b209b3bebc8db/Documents/"/>
    </mc:Choice>
  </mc:AlternateContent>
  <xr:revisionPtr revIDLastSave="7" documentId="8_{4546FA95-4CD9-48B4-9FC5-CFE666138CA0}" xr6:coauthVersionLast="47" xr6:coauthVersionMax="47" xr10:uidLastSave="{5A49EE0F-B3FD-4F7D-92EA-C6355937A5B6}"/>
  <bookViews>
    <workbookView xWindow="-108" yWindow="-108" windowWidth="23256" windowHeight="12456" tabRatio="500" xr2:uid="{00000000-000D-0000-FFFF-FFFF00000000}"/>
  </bookViews>
  <sheets>
    <sheet name="Raw Data" sheetId="1" r:id="rId1"/>
    <sheet name="Cleaned Data" sheetId="2" r:id="rId2"/>
    <sheet name="Analysis" sheetId="3" r:id="rId3"/>
    <sheet name="Char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3" l="1"/>
  <c r="H9" i="3"/>
  <c r="B9" i="3"/>
  <c r="H8" i="3"/>
  <c r="L7" i="3"/>
  <c r="K7" i="3"/>
  <c r="H7" i="3"/>
  <c r="B7" i="3"/>
  <c r="L6" i="3"/>
  <c r="K6" i="3"/>
  <c r="H6" i="3"/>
  <c r="E6" i="3"/>
  <c r="B6" i="3"/>
  <c r="L5" i="3"/>
  <c r="K5" i="3"/>
  <c r="H5" i="3"/>
  <c r="E5" i="3"/>
  <c r="B5" i="3"/>
  <c r="L4" i="3"/>
  <c r="K4" i="3"/>
  <c r="H4" i="3"/>
  <c r="B12" i="3" s="1"/>
  <c r="E4" i="3"/>
  <c r="B4" i="3"/>
  <c r="B8" i="3" l="1"/>
  <c r="B10" i="3"/>
</calcChain>
</file>

<file path=xl/sharedStrings.xml><?xml version="1.0" encoding="utf-8"?>
<sst xmlns="http://schemas.openxmlformats.org/spreadsheetml/2006/main" count="280" uniqueCount="104">
  <si>
    <t>Return ID</t>
  </si>
  <si>
    <t>Customer Name</t>
  </si>
  <si>
    <t>Product</t>
  </si>
  <si>
    <t>Return Reason</t>
  </si>
  <si>
    <t>Refund Amount</t>
  </si>
  <si>
    <t>Return Status</t>
  </si>
  <si>
    <t>Return Date</t>
  </si>
  <si>
    <t>R001</t>
  </si>
  <si>
    <t>Rohan Deshmukh</t>
  </si>
  <si>
    <t>Wireless Earbuds</t>
  </si>
  <si>
    <t>Defective product</t>
  </si>
  <si>
    <t>Approved</t>
  </si>
  <si>
    <t>01-Aug-2026</t>
  </si>
  <si>
    <t>R002</t>
  </si>
  <si>
    <t xml:space="preserve">Sneha Kulkarni </t>
  </si>
  <si>
    <t>Bluetooth Speaker</t>
  </si>
  <si>
    <t>wrong item delivered</t>
  </si>
  <si>
    <t>approved</t>
  </si>
  <si>
    <t>R003</t>
  </si>
  <si>
    <t>Amit Joshi</t>
  </si>
  <si>
    <t>Running Shoes</t>
  </si>
  <si>
    <t>Size mismatch</t>
  </si>
  <si>
    <t>Rejected</t>
  </si>
  <si>
    <t>R004</t>
  </si>
  <si>
    <t xml:space="preserve"> Priya Nair</t>
  </si>
  <si>
    <t>Kitchen Mixer</t>
  </si>
  <si>
    <t>Defective Product</t>
  </si>
  <si>
    <t>R005</t>
  </si>
  <si>
    <t>Karan Mehta</t>
  </si>
  <si>
    <t>Cotton Saree</t>
  </si>
  <si>
    <t>size mismatch</t>
  </si>
  <si>
    <t>REJECTED</t>
  </si>
  <si>
    <t>02-Aug-2026</t>
  </si>
  <si>
    <t>R006</t>
  </si>
  <si>
    <t>Neha Singh</t>
  </si>
  <si>
    <t>Laptop Bag</t>
  </si>
  <si>
    <t>Wrong Item Delivered</t>
  </si>
  <si>
    <t>Pending</t>
  </si>
  <si>
    <t>R007</t>
  </si>
  <si>
    <t>Vikas Patil</t>
  </si>
  <si>
    <t>Smart Watch</t>
  </si>
  <si>
    <t>R008</t>
  </si>
  <si>
    <t>Ritu Sharma</t>
  </si>
  <si>
    <t>Wireless Mouse</t>
  </si>
  <si>
    <t>changed mind</t>
  </si>
  <si>
    <t>rejected</t>
  </si>
  <si>
    <t>R009</t>
  </si>
  <si>
    <t>Suresh Rao</t>
  </si>
  <si>
    <t>Office Chair</t>
  </si>
  <si>
    <t>Damaged in transit</t>
  </si>
  <si>
    <t>R010</t>
  </si>
  <si>
    <t>Anita Desai</t>
  </si>
  <si>
    <t>Yoga Mat</t>
  </si>
  <si>
    <t>03-Aug-2026</t>
  </si>
  <si>
    <t>R011</t>
  </si>
  <si>
    <t>Manoj Kumar</t>
  </si>
  <si>
    <t>Air Fryer</t>
  </si>
  <si>
    <t>R012</t>
  </si>
  <si>
    <t>Divya Iyer</t>
  </si>
  <si>
    <t>Backpack</t>
  </si>
  <si>
    <t>R013</t>
  </si>
  <si>
    <t>Rajesh Nair</t>
  </si>
  <si>
    <t>Table Lamp</t>
  </si>
  <si>
    <t>R014</t>
  </si>
  <si>
    <t>Pooja Verma</t>
  </si>
  <si>
    <t>Formal Shirt</t>
  </si>
  <si>
    <t>Size Mismatch</t>
  </si>
  <si>
    <t>R015</t>
  </si>
  <si>
    <t>Arjun Rathi</t>
  </si>
  <si>
    <t>Headphones</t>
  </si>
  <si>
    <t>R016</t>
  </si>
  <si>
    <t>Kavita Joshi</t>
  </si>
  <si>
    <t>Water Bottle</t>
  </si>
  <si>
    <t>04-Aug-2026</t>
  </si>
  <si>
    <t>R017</t>
  </si>
  <si>
    <t>Deepak Shah</t>
  </si>
  <si>
    <t>Gaming Mouse</t>
  </si>
  <si>
    <t>R018</t>
  </si>
  <si>
    <t>Swati Kulkarni</t>
  </si>
  <si>
    <t>Denim Jacket</t>
  </si>
  <si>
    <t>R019</t>
  </si>
  <si>
    <t>Nitin Bhosale</t>
  </si>
  <si>
    <t>Electric Kettle</t>
  </si>
  <si>
    <t>Sneha Kulkarni</t>
  </si>
  <si>
    <t>Priya Nair</t>
  </si>
  <si>
    <t>Changed Mind</t>
  </si>
  <si>
    <t>Damaged In Transit</t>
  </si>
  <si>
    <t>Not Specified</t>
  </si>
  <si>
    <t>E-commerce Order Returns — Analysis</t>
  </si>
  <si>
    <t>Metric</t>
  </si>
  <si>
    <t>Value</t>
  </si>
  <si>
    <t>Count</t>
  </si>
  <si>
    <t>Return Count</t>
  </si>
  <si>
    <t>Refund Total (₹)</t>
  </si>
  <si>
    <t>Total Returns</t>
  </si>
  <si>
    <t>Approved Returns</t>
  </si>
  <si>
    <t>Rejected Returns</t>
  </si>
  <si>
    <t>Pending Returns</t>
  </si>
  <si>
    <t>Approval Rate (%)</t>
  </si>
  <si>
    <t>Total Refund Amount - Approved (₹)</t>
  </si>
  <si>
    <t>Average Refund - Approved (₹)</t>
  </si>
  <si>
    <t>Average Refund - All Returns (₹)</t>
  </si>
  <si>
    <t>Most Common Return Reason</t>
  </si>
  <si>
    <t>Online Returns —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</si>
</sst>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Returns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Analysis!$E$3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23D-4C65-8926-9191CCC5F81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23D-4C65-8926-9191CCC5F81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23D-4C65-8926-9191CCC5F81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23D-4C65-8926-9191CCC5F81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23D-4C65-8926-9191CCC5F81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23D-4C65-8926-9191CCC5F8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Analysis!$D$4:$D$6</c:f>
              <c:strCache>
                <c:ptCount val="3"/>
                <c:pt idx="0">
                  <c:v>Approved</c:v>
                </c:pt>
                <c:pt idx="1">
                  <c:v>Rejected</c:v>
                </c:pt>
                <c:pt idx="2">
                  <c:v>Pending</c:v>
                </c:pt>
              </c:strCache>
            </c:strRef>
          </c:cat>
          <c:val>
            <c:numRef>
              <c:f>Analysis!$E$4:$E$6</c:f>
              <c:numCache>
                <c:formatCode>General</c:formatCode>
                <c:ptCount val="3"/>
                <c:pt idx="0">
                  <c:v>11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3D-4C65-8926-9191CCC5F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Returns by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Analysis!$G$4:$G$9</c:f>
              <c:strCache>
                <c:ptCount val="6"/>
                <c:pt idx="0">
                  <c:v>Defective Product</c:v>
                </c:pt>
                <c:pt idx="1">
                  <c:v>Wrong Item Delivered</c:v>
                </c:pt>
                <c:pt idx="2">
                  <c:v>Size Mismatch</c:v>
                </c:pt>
                <c:pt idx="3">
                  <c:v>Changed Mind</c:v>
                </c:pt>
                <c:pt idx="4">
                  <c:v>Damaged In Transit</c:v>
                </c:pt>
                <c:pt idx="5">
                  <c:v>Not Specified</c:v>
                </c:pt>
              </c:strCache>
            </c:strRef>
          </c:cat>
          <c:val>
            <c:numRef>
              <c:f>Analysis!$H$4:$H$9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D-4024-8F33-8E3206ECD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10100"/>
        <c:axId val="3739006"/>
      </c:barChart>
      <c:catAx>
        <c:axId val="63210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39006"/>
        <c:crosses val="autoZero"/>
        <c:auto val="1"/>
        <c:lblAlgn val="ctr"/>
        <c:lblOffset val="100"/>
        <c:noMultiLvlLbl val="0"/>
      </c:catAx>
      <c:valAx>
        <c:axId val="3739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2101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Refund Total by Date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Analysis!$L$3</c:f>
              <c:strCache>
                <c:ptCount val="1"/>
                <c:pt idx="0">
                  <c:v>Refund Total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Analysis!$J$4:$J$7</c:f>
              <c:strCache>
                <c:ptCount val="4"/>
                <c:pt idx="0">
                  <c:v>01-Aug-2026</c:v>
                </c:pt>
                <c:pt idx="1">
                  <c:v>02-Aug-2026</c:v>
                </c:pt>
                <c:pt idx="2">
                  <c:v>03-Aug-2026</c:v>
                </c:pt>
                <c:pt idx="3">
                  <c:v>04-Aug-2026</c:v>
                </c:pt>
              </c:strCache>
            </c:strRef>
          </c:cat>
          <c:val>
            <c:numRef>
              <c:f>Analysis!$L$4:$L$7</c:f>
              <c:numCache>
                <c:formatCode>General</c:formatCode>
                <c:ptCount val="4"/>
                <c:pt idx="0">
                  <c:v>4665</c:v>
                </c:pt>
                <c:pt idx="1">
                  <c:v>5265</c:v>
                </c:pt>
                <c:pt idx="2">
                  <c:v>6750</c:v>
                </c:pt>
                <c:pt idx="3">
                  <c:v>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9-4906-A4B6-D8D3193DB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139414"/>
        <c:axId val="81024568"/>
      </c:barChart>
      <c:catAx>
        <c:axId val="631394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24568"/>
        <c:crosses val="autoZero"/>
        <c:auto val="1"/>
        <c:lblAlgn val="ctr"/>
        <c:lblOffset val="100"/>
        <c:noMultiLvlLbl val="0"/>
      </c:catAx>
      <c:valAx>
        <c:axId val="81024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Refund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39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7</xdr:col>
      <xdr:colOff>39240</xdr:colOff>
      <xdr:row>16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8</xdr:col>
      <xdr:colOff>147600</xdr:colOff>
      <xdr:row>33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160560</xdr:rowOff>
    </xdr:from>
    <xdr:to>
      <xdr:col>8</xdr:col>
      <xdr:colOff>147600</xdr:colOff>
      <xdr:row>50</xdr:row>
      <xdr:rowOff>182880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pane ySplit="1" topLeftCell="A2" activePane="bottomLeft" state="frozen"/>
      <selection pane="bottomLeft" activeCell="A23" sqref="A23:M23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8" customWidth="1"/>
    <col min="4" max="4" width="20" customWidth="1"/>
    <col min="5" max="7" width="14" customWidth="1"/>
  </cols>
  <sheetData>
    <row r="1" spans="1:7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10</v>
      </c>
      <c r="E2" s="3">
        <v>800</v>
      </c>
      <c r="F2" s="3" t="s">
        <v>11</v>
      </c>
      <c r="G2" s="3" t="s">
        <v>12</v>
      </c>
    </row>
    <row r="3" spans="1:7" x14ac:dyDescent="0.3">
      <c r="A3" s="3" t="s">
        <v>13</v>
      </c>
      <c r="B3" s="3" t="s">
        <v>14</v>
      </c>
      <c r="C3" s="3" t="s">
        <v>15</v>
      </c>
      <c r="D3" s="3" t="s">
        <v>16</v>
      </c>
      <c r="E3" s="3">
        <v>1200</v>
      </c>
      <c r="F3" s="3" t="s">
        <v>17</v>
      </c>
      <c r="G3" s="3" t="s">
        <v>12</v>
      </c>
    </row>
    <row r="4" spans="1:7" x14ac:dyDescent="0.3">
      <c r="A4" s="3" t="s">
        <v>18</v>
      </c>
      <c r="B4" s="3" t="s">
        <v>19</v>
      </c>
      <c r="C4" s="3" t="s">
        <v>20</v>
      </c>
      <c r="D4" s="3" t="s">
        <v>21</v>
      </c>
      <c r="E4" s="3">
        <v>1500</v>
      </c>
      <c r="F4" s="3" t="s">
        <v>22</v>
      </c>
      <c r="G4" s="3" t="s">
        <v>12</v>
      </c>
    </row>
    <row r="5" spans="1:7" x14ac:dyDescent="0.3">
      <c r="A5" s="3" t="s">
        <v>23</v>
      </c>
      <c r="B5" s="3" t="s">
        <v>24</v>
      </c>
      <c r="C5" s="3" t="s">
        <v>25</v>
      </c>
      <c r="D5" s="3" t="s">
        <v>26</v>
      </c>
      <c r="E5" s="4"/>
      <c r="F5" s="3" t="s">
        <v>11</v>
      </c>
      <c r="G5" s="3" t="s">
        <v>12</v>
      </c>
    </row>
    <row r="6" spans="1:7" x14ac:dyDescent="0.3">
      <c r="A6" s="3" t="s">
        <v>27</v>
      </c>
      <c r="B6" s="3" t="s">
        <v>28</v>
      </c>
      <c r="C6" s="3" t="s">
        <v>29</v>
      </c>
      <c r="D6" s="3" t="s">
        <v>30</v>
      </c>
      <c r="E6" s="3">
        <v>950</v>
      </c>
      <c r="F6" s="3" t="s">
        <v>31</v>
      </c>
      <c r="G6" s="3" t="s">
        <v>32</v>
      </c>
    </row>
    <row r="7" spans="1:7" x14ac:dyDescent="0.3">
      <c r="A7" s="3" t="s">
        <v>33</v>
      </c>
      <c r="B7" s="3" t="s">
        <v>34</v>
      </c>
      <c r="C7" s="3" t="s">
        <v>35</v>
      </c>
      <c r="D7" s="3" t="s">
        <v>36</v>
      </c>
      <c r="E7" s="3">
        <v>600</v>
      </c>
      <c r="F7" s="3" t="s">
        <v>37</v>
      </c>
      <c r="G7" s="3" t="s">
        <v>32</v>
      </c>
    </row>
    <row r="8" spans="1:7" x14ac:dyDescent="0.3">
      <c r="A8" s="5" t="s">
        <v>38</v>
      </c>
      <c r="B8" s="5" t="s">
        <v>39</v>
      </c>
      <c r="C8" s="5" t="s">
        <v>40</v>
      </c>
      <c r="D8" s="5" t="s">
        <v>10</v>
      </c>
      <c r="E8" s="5">
        <v>2200</v>
      </c>
      <c r="F8" s="5" t="s">
        <v>11</v>
      </c>
      <c r="G8" s="5" t="s">
        <v>32</v>
      </c>
    </row>
    <row r="9" spans="1:7" x14ac:dyDescent="0.3">
      <c r="A9" s="5" t="s">
        <v>38</v>
      </c>
      <c r="B9" s="5" t="s">
        <v>39</v>
      </c>
      <c r="C9" s="5" t="s">
        <v>40</v>
      </c>
      <c r="D9" s="5" t="s">
        <v>10</v>
      </c>
      <c r="E9" s="5">
        <v>2200</v>
      </c>
      <c r="F9" s="5" t="s">
        <v>11</v>
      </c>
      <c r="G9" s="5" t="s">
        <v>32</v>
      </c>
    </row>
    <row r="10" spans="1:7" x14ac:dyDescent="0.3">
      <c r="A10" s="3" t="s">
        <v>41</v>
      </c>
      <c r="B10" s="3" t="s">
        <v>42</v>
      </c>
      <c r="C10" s="3" t="s">
        <v>43</v>
      </c>
      <c r="D10" s="3" t="s">
        <v>44</v>
      </c>
      <c r="E10" s="3">
        <v>350</v>
      </c>
      <c r="F10" s="3" t="s">
        <v>45</v>
      </c>
      <c r="G10" s="3" t="s">
        <v>32</v>
      </c>
    </row>
    <row r="11" spans="1:7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4"/>
      <c r="F11" s="3" t="s">
        <v>11</v>
      </c>
      <c r="G11" s="3" t="s">
        <v>32</v>
      </c>
    </row>
    <row r="12" spans="1:7" x14ac:dyDescent="0.3">
      <c r="A12" s="3" t="s">
        <v>50</v>
      </c>
      <c r="B12" s="3" t="s">
        <v>51</v>
      </c>
      <c r="C12" s="3" t="s">
        <v>52</v>
      </c>
      <c r="D12" s="3" t="s">
        <v>30</v>
      </c>
      <c r="E12" s="3">
        <v>400</v>
      </c>
      <c r="F12" s="3" t="s">
        <v>11</v>
      </c>
      <c r="G12" s="3" t="s">
        <v>53</v>
      </c>
    </row>
    <row r="13" spans="1:7" x14ac:dyDescent="0.3">
      <c r="A13" s="3" t="s">
        <v>54</v>
      </c>
      <c r="B13" s="3" t="s">
        <v>55</v>
      </c>
      <c r="C13" s="3" t="s">
        <v>56</v>
      </c>
      <c r="D13" s="3" t="s">
        <v>26</v>
      </c>
      <c r="E13" s="3">
        <v>3200</v>
      </c>
      <c r="F13" s="3" t="s">
        <v>37</v>
      </c>
      <c r="G13" s="3" t="s">
        <v>53</v>
      </c>
    </row>
    <row r="14" spans="1:7" x14ac:dyDescent="0.3">
      <c r="A14" s="3" t="s">
        <v>57</v>
      </c>
      <c r="B14" s="3" t="s">
        <v>58</v>
      </c>
      <c r="C14" s="3" t="s">
        <v>59</v>
      </c>
      <c r="D14" s="3" t="s">
        <v>16</v>
      </c>
      <c r="E14" s="3">
        <v>850</v>
      </c>
      <c r="F14" s="3" t="s">
        <v>11</v>
      </c>
      <c r="G14" s="3" t="s">
        <v>53</v>
      </c>
    </row>
    <row r="15" spans="1:7" x14ac:dyDescent="0.3">
      <c r="A15" s="3" t="s">
        <v>60</v>
      </c>
      <c r="B15" s="3" t="s">
        <v>61</v>
      </c>
      <c r="C15" s="3" t="s">
        <v>62</v>
      </c>
      <c r="D15" s="3" t="s">
        <v>10</v>
      </c>
      <c r="E15" s="3">
        <v>500</v>
      </c>
      <c r="F15" s="3" t="s">
        <v>45</v>
      </c>
      <c r="G15" s="3" t="s">
        <v>53</v>
      </c>
    </row>
    <row r="16" spans="1:7" x14ac:dyDescent="0.3">
      <c r="A16" s="3" t="s">
        <v>63</v>
      </c>
      <c r="B16" s="3" t="s">
        <v>64</v>
      </c>
      <c r="C16" s="3" t="s">
        <v>65</v>
      </c>
      <c r="D16" s="3" t="s">
        <v>66</v>
      </c>
      <c r="E16" s="3">
        <v>700</v>
      </c>
      <c r="F16" s="3" t="s">
        <v>11</v>
      </c>
      <c r="G16" s="3" t="s">
        <v>53</v>
      </c>
    </row>
    <row r="17" spans="1:7" x14ac:dyDescent="0.3">
      <c r="A17" s="3" t="s">
        <v>67</v>
      </c>
      <c r="B17" s="3" t="s">
        <v>68</v>
      </c>
      <c r="C17" s="3" t="s">
        <v>69</v>
      </c>
      <c r="D17" s="4"/>
      <c r="E17" s="3">
        <v>1100</v>
      </c>
      <c r="F17" s="3" t="s">
        <v>11</v>
      </c>
      <c r="G17" s="3" t="s">
        <v>53</v>
      </c>
    </row>
    <row r="18" spans="1:7" x14ac:dyDescent="0.3">
      <c r="A18" s="3" t="s">
        <v>70</v>
      </c>
      <c r="B18" s="3" t="s">
        <v>71</v>
      </c>
      <c r="C18" s="3" t="s">
        <v>72</v>
      </c>
      <c r="D18" s="3" t="s">
        <v>44</v>
      </c>
      <c r="E18" s="3">
        <v>250</v>
      </c>
      <c r="F18" s="3" t="s">
        <v>22</v>
      </c>
      <c r="G18" s="3" t="s">
        <v>73</v>
      </c>
    </row>
    <row r="19" spans="1:7" x14ac:dyDescent="0.3">
      <c r="A19" s="3" t="s">
        <v>74</v>
      </c>
      <c r="B19" s="3" t="s">
        <v>75</v>
      </c>
      <c r="C19" s="3" t="s">
        <v>76</v>
      </c>
      <c r="D19" s="3" t="s">
        <v>10</v>
      </c>
      <c r="E19" s="3">
        <v>900</v>
      </c>
      <c r="F19" s="3" t="s">
        <v>17</v>
      </c>
      <c r="G19" s="3" t="s">
        <v>73</v>
      </c>
    </row>
    <row r="20" spans="1:7" x14ac:dyDescent="0.3">
      <c r="A20" s="3" t="s">
        <v>77</v>
      </c>
      <c r="B20" s="3" t="s">
        <v>78</v>
      </c>
      <c r="C20" s="3" t="s">
        <v>79</v>
      </c>
      <c r="D20" s="3" t="s">
        <v>16</v>
      </c>
      <c r="E20" s="3">
        <v>1300</v>
      </c>
      <c r="F20" s="3" t="s">
        <v>11</v>
      </c>
      <c r="G20" s="3" t="s">
        <v>73</v>
      </c>
    </row>
    <row r="21" spans="1:7" x14ac:dyDescent="0.3">
      <c r="A21" s="3" t="s">
        <v>80</v>
      </c>
      <c r="B21" s="3" t="s">
        <v>81</v>
      </c>
      <c r="C21" s="3" t="s">
        <v>82</v>
      </c>
      <c r="D21" s="3" t="s">
        <v>49</v>
      </c>
      <c r="E21" s="3">
        <v>600</v>
      </c>
      <c r="F21" s="3" t="s">
        <v>37</v>
      </c>
      <c r="G21" s="3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zoomScaleNormal="100" workbookViewId="0">
      <pane ySplit="1" topLeftCell="A2" activePane="bottomLeft" state="frozen"/>
      <selection pane="bottomLeft" activeCell="A22" sqref="A22:Z22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8" customWidth="1"/>
    <col min="4" max="4" width="20" customWidth="1"/>
    <col min="5" max="7" width="14" customWidth="1"/>
  </cols>
  <sheetData>
    <row r="1" spans="1:7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26</v>
      </c>
      <c r="E2" s="3">
        <v>800</v>
      </c>
      <c r="F2" s="3" t="s">
        <v>11</v>
      </c>
      <c r="G2" s="3" t="s">
        <v>12</v>
      </c>
    </row>
    <row r="3" spans="1:7" x14ac:dyDescent="0.3">
      <c r="A3" s="3" t="s">
        <v>13</v>
      </c>
      <c r="B3" s="3" t="s">
        <v>83</v>
      </c>
      <c r="C3" s="3" t="s">
        <v>15</v>
      </c>
      <c r="D3" s="3" t="s">
        <v>36</v>
      </c>
      <c r="E3" s="3">
        <v>1200</v>
      </c>
      <c r="F3" s="3" t="s">
        <v>11</v>
      </c>
      <c r="G3" s="3" t="s">
        <v>12</v>
      </c>
    </row>
    <row r="4" spans="1:7" x14ac:dyDescent="0.3">
      <c r="A4" s="3" t="s">
        <v>18</v>
      </c>
      <c r="B4" s="3" t="s">
        <v>19</v>
      </c>
      <c r="C4" s="3" t="s">
        <v>20</v>
      </c>
      <c r="D4" s="3" t="s">
        <v>66</v>
      </c>
      <c r="E4" s="3">
        <v>1500</v>
      </c>
      <c r="F4" s="3" t="s">
        <v>22</v>
      </c>
      <c r="G4" s="3" t="s">
        <v>12</v>
      </c>
    </row>
    <row r="5" spans="1:7" x14ac:dyDescent="0.3">
      <c r="A5" s="3" t="s">
        <v>23</v>
      </c>
      <c r="B5" s="3" t="s">
        <v>84</v>
      </c>
      <c r="C5" s="3" t="s">
        <v>25</v>
      </c>
      <c r="D5" s="3" t="s">
        <v>26</v>
      </c>
      <c r="E5" s="3">
        <v>1165</v>
      </c>
      <c r="F5" s="3" t="s">
        <v>11</v>
      </c>
      <c r="G5" s="3" t="s">
        <v>12</v>
      </c>
    </row>
    <row r="6" spans="1:7" x14ac:dyDescent="0.3">
      <c r="A6" s="3" t="s">
        <v>27</v>
      </c>
      <c r="B6" s="3" t="s">
        <v>28</v>
      </c>
      <c r="C6" s="3" t="s">
        <v>29</v>
      </c>
      <c r="D6" s="3" t="s">
        <v>66</v>
      </c>
      <c r="E6" s="3">
        <v>950</v>
      </c>
      <c r="F6" s="3" t="s">
        <v>22</v>
      </c>
      <c r="G6" s="3" t="s">
        <v>32</v>
      </c>
    </row>
    <row r="7" spans="1:7" x14ac:dyDescent="0.3">
      <c r="A7" s="3" t="s">
        <v>33</v>
      </c>
      <c r="B7" s="3" t="s">
        <v>34</v>
      </c>
      <c r="C7" s="3" t="s">
        <v>35</v>
      </c>
      <c r="D7" s="3" t="s">
        <v>36</v>
      </c>
      <c r="E7" s="3">
        <v>600</v>
      </c>
      <c r="F7" s="3" t="s">
        <v>37</v>
      </c>
      <c r="G7" s="3" t="s">
        <v>32</v>
      </c>
    </row>
    <row r="8" spans="1:7" x14ac:dyDescent="0.3">
      <c r="A8" s="3" t="s">
        <v>38</v>
      </c>
      <c r="B8" s="3" t="s">
        <v>39</v>
      </c>
      <c r="C8" s="3" t="s">
        <v>40</v>
      </c>
      <c r="D8" s="3" t="s">
        <v>26</v>
      </c>
      <c r="E8" s="3">
        <v>2200</v>
      </c>
      <c r="F8" s="3" t="s">
        <v>11</v>
      </c>
      <c r="G8" s="3" t="s">
        <v>32</v>
      </c>
    </row>
    <row r="9" spans="1:7" x14ac:dyDescent="0.3">
      <c r="A9" s="3" t="s">
        <v>41</v>
      </c>
      <c r="B9" s="3" t="s">
        <v>42</v>
      </c>
      <c r="C9" s="3" t="s">
        <v>43</v>
      </c>
      <c r="D9" s="3" t="s">
        <v>85</v>
      </c>
      <c r="E9" s="3">
        <v>350</v>
      </c>
      <c r="F9" s="3" t="s">
        <v>22</v>
      </c>
      <c r="G9" s="3" t="s">
        <v>32</v>
      </c>
    </row>
    <row r="10" spans="1:7" x14ac:dyDescent="0.3">
      <c r="A10" s="3" t="s">
        <v>46</v>
      </c>
      <c r="B10" s="3" t="s">
        <v>47</v>
      </c>
      <c r="C10" s="3" t="s">
        <v>48</v>
      </c>
      <c r="D10" s="3" t="s">
        <v>86</v>
      </c>
      <c r="E10" s="3">
        <v>1165</v>
      </c>
      <c r="F10" s="3" t="s">
        <v>11</v>
      </c>
      <c r="G10" s="3" t="s">
        <v>32</v>
      </c>
    </row>
    <row r="11" spans="1:7" x14ac:dyDescent="0.3">
      <c r="A11" s="3" t="s">
        <v>50</v>
      </c>
      <c r="B11" s="3" t="s">
        <v>51</v>
      </c>
      <c r="C11" s="3" t="s">
        <v>52</v>
      </c>
      <c r="D11" s="3" t="s">
        <v>66</v>
      </c>
      <c r="E11" s="3">
        <v>400</v>
      </c>
      <c r="F11" s="3" t="s">
        <v>11</v>
      </c>
      <c r="G11" s="3" t="s">
        <v>53</v>
      </c>
    </row>
    <row r="12" spans="1:7" x14ac:dyDescent="0.3">
      <c r="A12" s="3" t="s">
        <v>54</v>
      </c>
      <c r="B12" s="3" t="s">
        <v>55</v>
      </c>
      <c r="C12" s="3" t="s">
        <v>56</v>
      </c>
      <c r="D12" s="3" t="s">
        <v>26</v>
      </c>
      <c r="E12" s="3">
        <v>3200</v>
      </c>
      <c r="F12" s="3" t="s">
        <v>37</v>
      </c>
      <c r="G12" s="3" t="s">
        <v>53</v>
      </c>
    </row>
    <row r="13" spans="1:7" x14ac:dyDescent="0.3">
      <c r="A13" s="3" t="s">
        <v>57</v>
      </c>
      <c r="B13" s="3" t="s">
        <v>58</v>
      </c>
      <c r="C13" s="3" t="s">
        <v>59</v>
      </c>
      <c r="D13" s="3" t="s">
        <v>36</v>
      </c>
      <c r="E13" s="3">
        <v>850</v>
      </c>
      <c r="F13" s="3" t="s">
        <v>11</v>
      </c>
      <c r="G13" s="3" t="s">
        <v>53</v>
      </c>
    </row>
    <row r="14" spans="1:7" x14ac:dyDescent="0.3">
      <c r="A14" s="3" t="s">
        <v>60</v>
      </c>
      <c r="B14" s="3" t="s">
        <v>61</v>
      </c>
      <c r="C14" s="3" t="s">
        <v>62</v>
      </c>
      <c r="D14" s="3" t="s">
        <v>26</v>
      </c>
      <c r="E14" s="3">
        <v>500</v>
      </c>
      <c r="F14" s="3" t="s">
        <v>22</v>
      </c>
      <c r="G14" s="3" t="s">
        <v>53</v>
      </c>
    </row>
    <row r="15" spans="1:7" x14ac:dyDescent="0.3">
      <c r="A15" s="3" t="s">
        <v>63</v>
      </c>
      <c r="B15" s="3" t="s">
        <v>64</v>
      </c>
      <c r="C15" s="3" t="s">
        <v>65</v>
      </c>
      <c r="D15" s="3" t="s">
        <v>66</v>
      </c>
      <c r="E15" s="3">
        <v>700</v>
      </c>
      <c r="F15" s="3" t="s">
        <v>11</v>
      </c>
      <c r="G15" s="3" t="s">
        <v>53</v>
      </c>
    </row>
    <row r="16" spans="1:7" x14ac:dyDescent="0.3">
      <c r="A16" s="3" t="s">
        <v>67</v>
      </c>
      <c r="B16" s="3" t="s">
        <v>68</v>
      </c>
      <c r="C16" s="3" t="s">
        <v>69</v>
      </c>
      <c r="D16" s="3" t="s">
        <v>87</v>
      </c>
      <c r="E16" s="3">
        <v>1100</v>
      </c>
      <c r="F16" s="3" t="s">
        <v>11</v>
      </c>
      <c r="G16" s="3" t="s">
        <v>53</v>
      </c>
    </row>
    <row r="17" spans="1:7" x14ac:dyDescent="0.3">
      <c r="A17" s="3" t="s">
        <v>70</v>
      </c>
      <c r="B17" s="3" t="s">
        <v>71</v>
      </c>
      <c r="C17" s="3" t="s">
        <v>72</v>
      </c>
      <c r="D17" s="3" t="s">
        <v>85</v>
      </c>
      <c r="E17" s="3">
        <v>250</v>
      </c>
      <c r="F17" s="3" t="s">
        <v>22</v>
      </c>
      <c r="G17" s="3" t="s">
        <v>73</v>
      </c>
    </row>
    <row r="18" spans="1:7" x14ac:dyDescent="0.3">
      <c r="A18" s="3" t="s">
        <v>74</v>
      </c>
      <c r="B18" s="3" t="s">
        <v>75</v>
      </c>
      <c r="C18" s="3" t="s">
        <v>76</v>
      </c>
      <c r="D18" s="3" t="s">
        <v>26</v>
      </c>
      <c r="E18" s="3">
        <v>900</v>
      </c>
      <c r="F18" s="3" t="s">
        <v>11</v>
      </c>
      <c r="G18" s="3" t="s">
        <v>73</v>
      </c>
    </row>
    <row r="19" spans="1:7" x14ac:dyDescent="0.3">
      <c r="A19" s="3" t="s">
        <v>77</v>
      </c>
      <c r="B19" s="3" t="s">
        <v>78</v>
      </c>
      <c r="C19" s="3" t="s">
        <v>79</v>
      </c>
      <c r="D19" s="3" t="s">
        <v>36</v>
      </c>
      <c r="E19" s="3">
        <v>1300</v>
      </c>
      <c r="F19" s="3" t="s">
        <v>11</v>
      </c>
      <c r="G19" s="3" t="s">
        <v>73</v>
      </c>
    </row>
    <row r="20" spans="1:7" x14ac:dyDescent="0.3">
      <c r="A20" s="3" t="s">
        <v>80</v>
      </c>
      <c r="B20" s="3" t="s">
        <v>81</v>
      </c>
      <c r="C20" s="3" t="s">
        <v>82</v>
      </c>
      <c r="D20" s="3" t="s">
        <v>86</v>
      </c>
      <c r="E20" s="3">
        <v>600</v>
      </c>
      <c r="F20" s="3" t="s">
        <v>37</v>
      </c>
      <c r="G20" s="3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zoomScaleNormal="100" workbookViewId="0">
      <selection sqref="A1:D1"/>
    </sheetView>
  </sheetViews>
  <sheetFormatPr defaultColWidth="8.6640625" defaultRowHeight="14.4" x14ac:dyDescent="0.3"/>
  <cols>
    <col min="1" max="1" width="30" customWidth="1"/>
    <col min="2" max="2" width="22" customWidth="1"/>
    <col min="3" max="3" width="3" customWidth="1"/>
    <col min="4" max="4" width="20" customWidth="1"/>
    <col min="5" max="5" width="10" customWidth="1"/>
    <col min="6" max="6" width="3" customWidth="1"/>
    <col min="7" max="7" width="20" customWidth="1"/>
    <col min="8" max="8" width="10" customWidth="1"/>
    <col min="9" max="9" width="3" customWidth="1"/>
    <col min="10" max="11" width="14" customWidth="1"/>
    <col min="12" max="12" width="16" customWidth="1"/>
  </cols>
  <sheetData>
    <row r="1" spans="1:12" ht="17.399999999999999" x14ac:dyDescent="0.3">
      <c r="A1" s="1" t="s">
        <v>88</v>
      </c>
      <c r="B1" s="1"/>
      <c r="C1" s="1"/>
      <c r="D1" s="1"/>
    </row>
    <row r="3" spans="1:12" x14ac:dyDescent="0.3">
      <c r="A3" s="2" t="s">
        <v>89</v>
      </c>
      <c r="B3" s="2" t="s">
        <v>90</v>
      </c>
      <c r="D3" s="7" t="s">
        <v>5</v>
      </c>
      <c r="E3" s="7" t="s">
        <v>91</v>
      </c>
      <c r="G3" s="7" t="s">
        <v>3</v>
      </c>
      <c r="H3" s="7" t="s">
        <v>91</v>
      </c>
      <c r="J3" s="7" t="s">
        <v>6</v>
      </c>
      <c r="K3" s="7" t="s">
        <v>92</v>
      </c>
      <c r="L3" s="7" t="s">
        <v>93</v>
      </c>
    </row>
    <row r="4" spans="1:12" x14ac:dyDescent="0.3">
      <c r="A4" s="3" t="s">
        <v>94</v>
      </c>
      <c r="B4" s="3">
        <f>COUNTA('Cleaned Data'!A2:A20)</f>
        <v>19</v>
      </c>
      <c r="D4" s="3" t="s">
        <v>11</v>
      </c>
      <c r="E4" s="3">
        <f>COUNTIF('Cleaned Data'!F2:F20,"Approved")</f>
        <v>11</v>
      </c>
      <c r="G4" s="3" t="s">
        <v>26</v>
      </c>
      <c r="H4" s="3">
        <f>COUNTIF('Cleaned Data'!D2:D20,"Defective Product")</f>
        <v>6</v>
      </c>
      <c r="J4" s="3" t="s">
        <v>12</v>
      </c>
      <c r="K4" s="3">
        <f>COUNTIF('Cleaned Data'!G2:G20,"01-Aug-2026")</f>
        <v>4</v>
      </c>
      <c r="L4" s="3">
        <f>SUMIF('Cleaned Data'!G2:G20,"01-Aug-2026",'Cleaned Data'!E2:E20)</f>
        <v>4665</v>
      </c>
    </row>
    <row r="5" spans="1:12" x14ac:dyDescent="0.3">
      <c r="A5" s="3" t="s">
        <v>95</v>
      </c>
      <c r="B5" s="3">
        <f>COUNTIF('Cleaned Data'!F2:F20,"Approved")</f>
        <v>11</v>
      </c>
      <c r="D5" s="3" t="s">
        <v>22</v>
      </c>
      <c r="E5" s="3">
        <f>COUNTIF('Cleaned Data'!F2:F20,"Rejected")</f>
        <v>5</v>
      </c>
      <c r="G5" s="3" t="s">
        <v>36</v>
      </c>
      <c r="H5" s="3">
        <f>COUNTIF('Cleaned Data'!D2:D20,"Wrong Item Delivered")</f>
        <v>4</v>
      </c>
      <c r="J5" s="3" t="s">
        <v>32</v>
      </c>
      <c r="K5" s="3">
        <f>COUNTIF('Cleaned Data'!G2:G20,"02-Aug-2026")</f>
        <v>5</v>
      </c>
      <c r="L5" s="3">
        <f>SUMIF('Cleaned Data'!G2:G20,"02-Aug-2026",'Cleaned Data'!E2:E20)</f>
        <v>5265</v>
      </c>
    </row>
    <row r="6" spans="1:12" x14ac:dyDescent="0.3">
      <c r="A6" s="3" t="s">
        <v>96</v>
      </c>
      <c r="B6" s="3">
        <f>COUNTIF('Cleaned Data'!F2:F20,"Rejected")</f>
        <v>5</v>
      </c>
      <c r="D6" s="3" t="s">
        <v>37</v>
      </c>
      <c r="E6" s="3">
        <f>COUNTIF('Cleaned Data'!F2:F20,"Pending")</f>
        <v>3</v>
      </c>
      <c r="G6" s="3" t="s">
        <v>66</v>
      </c>
      <c r="H6" s="3">
        <f>COUNTIF('Cleaned Data'!D2:D20,"Size Mismatch")</f>
        <v>4</v>
      </c>
      <c r="J6" s="3" t="s">
        <v>53</v>
      </c>
      <c r="K6" s="3">
        <f>COUNTIF('Cleaned Data'!G2:G20,"03-Aug-2026")</f>
        <v>6</v>
      </c>
      <c r="L6" s="3">
        <f>SUMIF('Cleaned Data'!G2:G20,"03-Aug-2026",'Cleaned Data'!E2:E20)</f>
        <v>6750</v>
      </c>
    </row>
    <row r="7" spans="1:12" x14ac:dyDescent="0.3">
      <c r="A7" s="3" t="s">
        <v>97</v>
      </c>
      <c r="B7" s="3">
        <f>COUNTIF('Cleaned Data'!F2:F20,"Pending")</f>
        <v>3</v>
      </c>
      <c r="G7" s="3" t="s">
        <v>85</v>
      </c>
      <c r="H7" s="3">
        <f>COUNTIF('Cleaned Data'!D2:D20,"Changed Mind")</f>
        <v>2</v>
      </c>
      <c r="J7" s="3" t="s">
        <v>73</v>
      </c>
      <c r="K7" s="3">
        <f>COUNTIF('Cleaned Data'!G2:G20,"04-Aug-2026")</f>
        <v>4</v>
      </c>
      <c r="L7" s="3">
        <f>SUMIF('Cleaned Data'!G2:G20,"04-Aug-2026",'Cleaned Data'!E2:E20)</f>
        <v>3050</v>
      </c>
    </row>
    <row r="8" spans="1:12" x14ac:dyDescent="0.3">
      <c r="A8" s="3" t="s">
        <v>98</v>
      </c>
      <c r="B8" s="3">
        <f>ROUND(B5/B4*100,1)</f>
        <v>57.9</v>
      </c>
      <c r="G8" s="3" t="s">
        <v>86</v>
      </c>
      <c r="H8" s="3">
        <f>COUNTIF('Cleaned Data'!D2:D20,"Damaged In Transit")</f>
        <v>2</v>
      </c>
    </row>
    <row r="9" spans="1:12" x14ac:dyDescent="0.3">
      <c r="A9" s="3" t="s">
        <v>99</v>
      </c>
      <c r="B9" s="3">
        <f>SUMIF('Cleaned Data'!F2:F20,"Approved",'Cleaned Data'!E2:E20)</f>
        <v>11780</v>
      </c>
      <c r="G9" s="3" t="s">
        <v>87</v>
      </c>
      <c r="H9" s="3">
        <f>COUNTIF('Cleaned Data'!D2:D20,"Not Specified")</f>
        <v>1</v>
      </c>
    </row>
    <row r="10" spans="1:12" x14ac:dyDescent="0.3">
      <c r="A10" s="3" t="s">
        <v>100</v>
      </c>
      <c r="B10" s="3">
        <f>ROUND(B9/B5,2)</f>
        <v>1070.9100000000001</v>
      </c>
    </row>
    <row r="11" spans="1:12" x14ac:dyDescent="0.3">
      <c r="A11" s="3" t="s">
        <v>101</v>
      </c>
      <c r="B11" s="3">
        <f>ROUND(AVERAGE('Cleaned Data'!E2:E20),2)</f>
        <v>1038.42</v>
      </c>
    </row>
    <row r="12" spans="1:12" x14ac:dyDescent="0.3">
      <c r="A12" s="3" t="s">
        <v>102</v>
      </c>
      <c r="B12" s="3" t="str">
        <f>INDEX(G4:G9,MATCH(MAX(H4:H9),H4:H9,0))</f>
        <v>Defective Product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defaultColWidth="8.6640625" defaultRowHeight="14.4" x14ac:dyDescent="0.3"/>
  <sheetData>
    <row r="1" spans="1:1" ht="17.399999999999999" x14ac:dyDescent="0.3">
      <c r="A1" s="6" t="s">
        <v>103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Shrawani Vaidya</cp:lastModifiedBy>
  <cp:revision>1</cp:revision>
  <dcterms:created xsi:type="dcterms:W3CDTF">2026-07-28T10:34:42Z</dcterms:created>
  <dcterms:modified xsi:type="dcterms:W3CDTF">2026-07-28T10:41:02Z</dcterms:modified>
  <dc:language>en-US</dc:language>
</cp:coreProperties>
</file>